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6f321e44bbe31ee/Desktop/System Design/LLD-problems-and-theory/"/>
    </mc:Choice>
  </mc:AlternateContent>
  <xr:revisionPtr revIDLastSave="2" documentId="11_0986DF71AA163A0FB5570F1371186C9B23DE8293" xr6:coauthVersionLast="47" xr6:coauthVersionMax="47" xr10:uidLastSave="{B0B4D2A8-59AF-437E-B8DD-80D9FDC6CAC3}"/>
  <bookViews>
    <workbookView xWindow="28690" yWindow="-110" windowWidth="19420" windowHeight="10300" xr2:uid="{00000000-000D-0000-FFFF-FFFF00000000}"/>
  </bookViews>
  <sheets>
    <sheet name="Revision Plan" sheetId="1" r:id="rId1"/>
    <sheet name="Topic Tracker" sheetId="2" r:id="rId2"/>
    <sheet name="Repo Review" sheetId="3" r:id="rId3"/>
    <sheet name="File Cover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G12" i="1" s="1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F52" i="1"/>
  <c r="G52" i="1" s="1"/>
  <c r="E52" i="1"/>
  <c r="D52" i="1"/>
  <c r="B52" i="1"/>
  <c r="F51" i="1"/>
  <c r="G51" i="1" s="1"/>
  <c r="E51" i="1"/>
  <c r="D51" i="1"/>
  <c r="B51" i="1"/>
  <c r="F50" i="1"/>
  <c r="G50" i="1" s="1"/>
  <c r="E50" i="1"/>
  <c r="D50" i="1"/>
  <c r="B50" i="1"/>
  <c r="F49" i="1"/>
  <c r="G49" i="1" s="1"/>
  <c r="E49" i="1"/>
  <c r="D49" i="1"/>
  <c r="B49" i="1"/>
  <c r="F48" i="1"/>
  <c r="G48" i="1" s="1"/>
  <c r="E48" i="1"/>
  <c r="D48" i="1"/>
  <c r="B48" i="1"/>
  <c r="F47" i="1"/>
  <c r="G47" i="1" s="1"/>
  <c r="E47" i="1"/>
  <c r="D47" i="1"/>
  <c r="B47" i="1"/>
  <c r="F46" i="1"/>
  <c r="G46" i="1" s="1"/>
  <c r="E46" i="1"/>
  <c r="D46" i="1"/>
  <c r="B46" i="1"/>
  <c r="F45" i="1"/>
  <c r="G45" i="1" s="1"/>
  <c r="E45" i="1"/>
  <c r="D45" i="1"/>
  <c r="B45" i="1"/>
  <c r="F44" i="1"/>
  <c r="G44" i="1" s="1"/>
  <c r="E44" i="1"/>
  <c r="D44" i="1"/>
  <c r="B44" i="1"/>
  <c r="F43" i="1"/>
  <c r="G43" i="1" s="1"/>
  <c r="E43" i="1"/>
  <c r="D43" i="1"/>
  <c r="B43" i="1"/>
  <c r="G42" i="1"/>
  <c r="F42" i="1"/>
  <c r="E42" i="1"/>
  <c r="D42" i="1"/>
  <c r="B42" i="1"/>
  <c r="F41" i="1"/>
  <c r="G41" i="1" s="1"/>
  <c r="E41" i="1"/>
  <c r="D41" i="1"/>
  <c r="B41" i="1"/>
  <c r="F40" i="1"/>
  <c r="G40" i="1" s="1"/>
  <c r="E40" i="1"/>
  <c r="D40" i="1"/>
  <c r="B40" i="1"/>
  <c r="G39" i="1"/>
  <c r="F39" i="1"/>
  <c r="E39" i="1"/>
  <c r="D39" i="1"/>
  <c r="B39" i="1"/>
  <c r="F32" i="1"/>
  <c r="G32" i="1" s="1"/>
  <c r="E32" i="1"/>
  <c r="D32" i="1"/>
  <c r="B32" i="1"/>
  <c r="F31" i="1"/>
  <c r="G31" i="1" s="1"/>
  <c r="E31" i="1"/>
  <c r="D31" i="1"/>
  <c r="B31" i="1"/>
  <c r="F30" i="1"/>
  <c r="G30" i="1" s="1"/>
  <c r="E30" i="1"/>
  <c r="D30" i="1"/>
  <c r="B30" i="1"/>
  <c r="F29" i="1"/>
  <c r="G29" i="1" s="1"/>
  <c r="E29" i="1"/>
  <c r="D29" i="1"/>
  <c r="B29" i="1"/>
  <c r="F28" i="1"/>
  <c r="G28" i="1" s="1"/>
  <c r="E28" i="1"/>
  <c r="D28" i="1"/>
  <c r="B28" i="1"/>
  <c r="F27" i="1"/>
  <c r="G27" i="1" s="1"/>
  <c r="E27" i="1"/>
  <c r="D27" i="1"/>
  <c r="B27" i="1"/>
  <c r="F26" i="1"/>
  <c r="G26" i="1" s="1"/>
  <c r="E26" i="1"/>
  <c r="D26" i="1"/>
  <c r="B26" i="1"/>
  <c r="F25" i="1"/>
  <c r="G25" i="1" s="1"/>
  <c r="E25" i="1"/>
  <c r="D25" i="1"/>
  <c r="B25" i="1"/>
  <c r="F24" i="1"/>
  <c r="G24" i="1" s="1"/>
  <c r="E24" i="1"/>
  <c r="D24" i="1"/>
  <c r="B24" i="1"/>
  <c r="F23" i="1"/>
  <c r="G23" i="1" s="1"/>
  <c r="E23" i="1"/>
  <c r="D23" i="1"/>
  <c r="B23" i="1"/>
  <c r="F22" i="1"/>
  <c r="G22" i="1" s="1"/>
  <c r="E22" i="1"/>
  <c r="D22" i="1"/>
  <c r="B22" i="1"/>
  <c r="F21" i="1"/>
  <c r="G21" i="1" s="1"/>
  <c r="E21" i="1"/>
  <c r="D21" i="1"/>
  <c r="B21" i="1"/>
  <c r="F20" i="1"/>
  <c r="G20" i="1" s="1"/>
  <c r="E20" i="1"/>
  <c r="D20" i="1"/>
  <c r="B20" i="1"/>
  <c r="F19" i="1"/>
  <c r="G19" i="1" s="1"/>
  <c r="E19" i="1"/>
  <c r="D19" i="1"/>
  <c r="B19" i="1"/>
  <c r="F18" i="1"/>
  <c r="G18" i="1" s="1"/>
  <c r="E18" i="1"/>
  <c r="D18" i="1"/>
  <c r="B18" i="1"/>
  <c r="F17" i="1"/>
  <c r="G17" i="1" s="1"/>
  <c r="E17" i="1"/>
  <c r="D17" i="1"/>
  <c r="B17" i="1"/>
  <c r="F16" i="1"/>
  <c r="G16" i="1" s="1"/>
  <c r="E16" i="1"/>
  <c r="D16" i="1"/>
  <c r="B16" i="1"/>
  <c r="F15" i="1"/>
  <c r="G15" i="1" s="1"/>
  <c r="E15" i="1"/>
  <c r="D15" i="1"/>
  <c r="B15" i="1"/>
  <c r="F14" i="1"/>
  <c r="G14" i="1" s="1"/>
  <c r="E14" i="1"/>
  <c r="D14" i="1"/>
  <c r="B14" i="1"/>
  <c r="F13" i="1"/>
  <c r="G13" i="1" s="1"/>
  <c r="E13" i="1"/>
  <c r="D13" i="1"/>
  <c r="B13" i="1"/>
  <c r="E12" i="1"/>
  <c r="D12" i="1"/>
  <c r="B12" i="1"/>
  <c r="H6" i="1"/>
  <c r="D6" i="1"/>
  <c r="F6" i="1" s="1"/>
  <c r="B6" i="1"/>
</calcChain>
</file>

<file path=xl/sharedStrings.xml><?xml version="1.0" encoding="utf-8"?>
<sst xmlns="http://schemas.openxmlformats.org/spreadsheetml/2006/main" count="984" uniqueCount="559">
  <si>
    <t>SDE 2 LLD revision plan</t>
  </si>
  <si>
    <t>Start date</t>
  </si>
  <si>
    <t>Assumed start; editable. Calendar days, no skip days.</t>
  </si>
  <si>
    <t>Recall gap</t>
  </si>
  <si>
    <t>Days after completion; reset completed date after recall.</t>
  </si>
  <si>
    <t>Tasks</t>
  </si>
  <si>
    <t>Completed tasks</t>
  </si>
  <si>
    <t>Progress</t>
  </si>
  <si>
    <t>Planned hours</t>
  </si>
  <si>
    <t>Recommended: 21 days. All topics are included. Use 14-day mapping below only if you can sustain the heavier daily load.</t>
  </si>
  <si>
    <t>Each session: recall first, code one core flow, test edges, then compare variants. Time budgets include review and repairs.</t>
  </si>
  <si>
    <t>Day</t>
  </si>
  <si>
    <t>Date</t>
  </si>
  <si>
    <t>Focus</t>
  </si>
  <si>
    <t>Hours</t>
  </si>
  <si>
    <t>Done</t>
  </si>
  <si>
    <t>Session outcome</t>
  </si>
  <si>
    <t>OOP, SOLID and C++ foundations</t>
  </si>
  <si>
    <t>Model before coding; define ownership</t>
  </si>
  <si>
    <t>Strategy, DI and factories</t>
  </si>
  <si>
    <t>Choose and justify replaceable behavior</t>
  </si>
  <si>
    <t>State, Chain of Responsibility and ATM</t>
  </si>
  <si>
    <t>Make transitions and failure paths explicit</t>
  </si>
  <si>
    <t>Builder and parking lot</t>
  </si>
  <si>
    <t>Allocate real spots; enforce capacity</t>
  </si>
  <si>
    <t>Decorator, coffee and Adapter</t>
  </si>
  <si>
    <t>Compose behavior without class explosion</t>
  </si>
  <si>
    <t>Observer, Singleton and logger</t>
  </si>
  <si>
    <t>Decouple events and destinations</t>
  </si>
  <si>
    <t>Tic-tac-toe and snake game</t>
  </si>
  <si>
    <t>Enforce game invariants and lifetime</t>
  </si>
  <si>
    <t>File system, Composite and HashMap</t>
  </si>
  <si>
    <t>Hierarchy plus data-structure internals</t>
  </si>
  <si>
    <t>Command, text editor and chess</t>
  </si>
  <si>
    <t>Reversible operations and extensibility</t>
  </si>
  <si>
    <t>Splitwise, testing and service boundaries</t>
  </si>
  <si>
    <t>Preserve monetary and balance invariants</t>
  </si>
  <si>
    <t>Synchronization and bounded queues</t>
  </si>
  <si>
    <t>Correct blocking, wakeups and termination</t>
  </si>
  <si>
    <t>Futures, thread pool and object pool</t>
  </si>
  <si>
    <t>Workers and resources have explicit lifecycles</t>
  </si>
  <si>
    <t>LRU, generic and sharded caches</t>
  </si>
  <si>
    <t>Trade global ordering for concurrency</t>
  </si>
  <si>
    <t>Rate limiters and concurrency recall</t>
  </si>
  <si>
    <t>Persist state; test boundaries with fake time</t>
  </si>
  <si>
    <t>Booking and failure-safe workflows</t>
  </si>
  <si>
    <t>Prevent double booking and partial success</t>
  </si>
  <si>
    <t>Pub/sub and message queue</t>
  </si>
  <si>
    <t>Define delivery, ownership and backpressure</t>
  </si>
  <si>
    <t>Inventory and elevator</t>
  </si>
  <si>
    <t>Keep quantities and request order consistent</t>
  </si>
  <si>
    <t>Calendar and Uber LLD</t>
  </si>
  <si>
    <t>Transfer patterns to new domains</t>
  </si>
  <si>
    <t>Stack Overflow and gap repair</t>
  </si>
  <si>
    <t>Cover checklist gaps and repair weakness</t>
  </si>
  <si>
    <t>Domain and concurrency mocks</t>
  </si>
  <si>
    <t>Demonstrate code and tests under time limit</t>
  </si>
  <si>
    <t>Unseen mock and final recall</t>
  </si>
  <si>
    <t>Close gaps; explain tradeoffs without notes</t>
  </si>
  <si>
    <t>14-day compression</t>
  </si>
  <si>
    <t>Same tasks and order. Merge sessions; do not remove tests or mocks. Priorities indicate depth, not permission to skip coverage.</t>
  </si>
  <si>
    <t>21-day sessions to combine</t>
  </si>
  <si>
    <t>Approach</t>
  </si>
  <si>
    <t>Day 1</t>
  </si>
  <si>
    <t>One session; use spare time for recall.</t>
  </si>
  <si>
    <t>Day 2 + Day 3</t>
  </si>
  <si>
    <t>Split into two blocks with a break.</t>
  </si>
  <si>
    <t>Day 4</t>
  </si>
  <si>
    <t>Day 5 + Day 6</t>
  </si>
  <si>
    <t>Day 7</t>
  </si>
  <si>
    <t>Day 8</t>
  </si>
  <si>
    <t>Day 9</t>
  </si>
  <si>
    <t>Day 10</t>
  </si>
  <si>
    <t>Day 11</t>
  </si>
  <si>
    <t>Day 12 + Day 13</t>
  </si>
  <si>
    <t>Day 14 + Day 15</t>
  </si>
  <si>
    <t>Day 16 + Day 17</t>
  </si>
  <si>
    <t>Day 18 + Day 19</t>
  </si>
  <si>
    <t>Day 20 + Day 21</t>
  </si>
  <si>
    <t>Readiness rule</t>
  </si>
  <si>
    <t>Complete the three mocks and repair their missed invariants, tests and ownership issues.</t>
  </si>
  <si>
    <t>Mock rubric</t>
  </si>
  <si>
    <t>Clear requirements; cohesive classes; working core flow; edge tests; one justified extension.</t>
  </si>
  <si>
    <t>Scope</t>
  </si>
  <si>
    <t>LLD revision only. Continue DSA, HLD and behavioral preparation separately.</t>
  </si>
  <si>
    <t>Topic progress</t>
  </si>
  <si>
    <t>Update amber cells. Done = complete the acceptance criterion; initial status is for this new revision cycle.</t>
  </si>
  <si>
    <t>P0 = master and code; P1 = cover and extend; P2 = bounded review. Revisit completed tasks after 3 days.</t>
  </si>
  <si>
    <t>ID</t>
  </si>
  <si>
    <t>21-day</t>
  </si>
  <si>
    <t>14-day</t>
  </si>
  <si>
    <t>Priority</t>
  </si>
  <si>
    <t>Topic</t>
  </si>
  <si>
    <t>Plan min</t>
  </si>
  <si>
    <t>Status</t>
  </si>
  <si>
    <t>Completed</t>
  </si>
  <si>
    <t>Review due</t>
  </si>
  <si>
    <t>Actual min</t>
  </si>
  <si>
    <t>Coverage</t>
  </si>
  <si>
    <t>Acceptance criterion</t>
  </si>
  <si>
    <t>Repo files</t>
  </si>
  <si>
    <t>Notes / evidence</t>
  </si>
  <si>
    <t>T01</t>
  </si>
  <si>
    <t>P0</t>
  </si>
  <si>
    <t>OOP, SOLID and interview structure</t>
  </si>
  <si>
    <t>Not started</t>
  </si>
  <si>
    <t>Add theory</t>
  </si>
  <si>
    <t>Explain all five SOLID principles with one repo example each. Model entities, associations, composition, invariants and a sequence before coding.</t>
  </si>
  <si>
    <t>Added revision topic</t>
  </si>
  <si>
    <t>T02</t>
  </si>
  <si>
    <t>C++ ownership and testable interfaces</t>
  </si>
  <si>
    <t>Explain virtual destructors, RAII, const/reference semantics and Rule of 0/3/5. Mark owning vs borrowed pointers. Inject Clock, Payment and Repository interfaces.</t>
  </si>
  <si>
    <t>T03</t>
  </si>
  <si>
    <t>P2</t>
  </si>
  <si>
    <t>Operator overloading</t>
  </si>
  <si>
    <t>Code present</t>
  </si>
  <si>
    <t>Reimplement +, +=, == and &lt;&lt; with const correctness. Explain value return vs reference return.</t>
  </si>
  <si>
    <t>Concepts cpp/operatoroverloading.cpp</t>
  </si>
  <si>
    <t>T04</t>
  </si>
  <si>
    <t>Strategy and dependency injection</t>
  </si>
  <si>
    <t>Write one runtime-swappable strategy from memory. Explain dependency injection vs dependency inversion. Split duplicate examples before compiling.</t>
  </si>
  <si>
    <t>designpatterns/strategy.cpp
designpatterns/strategy2.cpp
designpatterns/dependencyingection.cpp</t>
  </si>
  <si>
    <t>T05</t>
  </si>
  <si>
    <t>Factory and Abstract Factory</t>
  </si>
  <si>
    <t>Create one object vs a family of related objects. Handle unknown types and ownership. Recognize these static factories as simple factories; explain Factory Method.</t>
  </si>
  <si>
    <t>designpatterns/factory.cpp
designpatterns/abstractfactory.cpp
practice/rev/factory.cpp</t>
  </si>
  <si>
    <t>T06</t>
  </si>
  <si>
    <t>State and legal transitions</t>
  </si>
  <si>
    <t>Draw legal transitions and reject illegal operations. Explain when an enum is enough and when polymorphic State helps.</t>
  </si>
  <si>
    <t>designpatterns/state.cpp
designpatterns/statebetter.cpp</t>
  </si>
  <si>
    <t>T07</t>
  </si>
  <si>
    <t>P1</t>
  </si>
  <si>
    <t>Chain of Responsibility</t>
  </si>
  <si>
    <t>Initialize the final next handler to nullptr. Test an unhandled request and distinguish alternative handlers from a validation pipeline.</t>
  </si>
  <si>
    <t>designpatterns/chainofresponsibility.cpp</t>
  </si>
  <si>
    <t>T08</t>
  </si>
  <si>
    <t>ATM machine</t>
  </si>
  <si>
    <t>Code withdrawal without console I/O in business logic. Validate amount, PIN retries, balance and cash. Failed bank debit must not consume ATM cash.</t>
  </si>
  <si>
    <t>problems/atmmachine.cpp</t>
  </si>
  <si>
    <t>T09</t>
  </si>
  <si>
    <t>Builder variants</t>
  </si>
  <si>
    <t>Prefer builderactual.cpp for revision. Explain fluent builder vs director. Keep alternate Desktop examples in separate translation units.</t>
  </si>
  <si>
    <t>designpatterns/builderactual.cpp
designpatterns/builderdp.cpp</t>
  </si>
  <si>
    <t>T10</t>
  </si>
  <si>
    <t>Parking lot</t>
  </si>
  <si>
    <t>Add actual spot IDs, capacity and allocation/release policy. Calculate fees. Test full lot, duplicate entry and concurrent allocation. Separate appended Ticket variant.</t>
  </si>
  <si>
    <t>problems/parkinglot.cpp</t>
  </si>
  <si>
    <t>T11</t>
  </si>
  <si>
    <t>Decorator and coffee machine</t>
  </si>
  <si>
    <t>Compose toppings and numeric prices. Test invalid coffee/payment and repeated selection. Explain decorator ownership. Add dispense failure as a state follow-up.</t>
  </si>
  <si>
    <t>designpatterns/decorator.cpp
problems/coffemachine.cpp</t>
  </si>
  <si>
    <t>T12</t>
  </si>
  <si>
    <t>Adapter</t>
  </si>
  <si>
    <t>Implement an actual interface translation. Separate the two examples. Explain Adapter vs Decorator.</t>
  </si>
  <si>
    <t>designpatterns/adapter.cpp</t>
  </si>
  <si>
    <t>T13</t>
  </si>
  <si>
    <t>Week 1 recall</t>
  </si>
  <si>
    <t>Practice</t>
  </si>
  <si>
    <t>Without notes, sketch parking/ATM and identify three invariants, one extension and one failure case for each.</t>
  </si>
  <si>
    <t>T14</t>
  </si>
  <si>
    <t>Observer and subscriber lifetime</t>
  </si>
  <si>
    <t>Snapshot under lock; invoke callbacks outside it. Explain duplicate subscriptions, unsubscribe semantics and borrowed-pointer lifetime.</t>
  </si>
  <si>
    <t>designpatterns/observer.cpp</t>
  </si>
  <si>
    <t>T15</t>
  </si>
  <si>
    <t>Singleton and logger</t>
  </si>
  <si>
    <t>Implement levels, filtering and multiple sinks. Explain why thread-safe construction does not protect every method. Compare DI with Singleton; test filtering and sink failure.</t>
  </si>
  <si>
    <t>designpatterns/singleton.cpp
problems/loggerbetter.cpp
problems/loggingsystem.cpp</t>
  </si>
  <si>
    <t>T16</t>
  </si>
  <si>
    <t>Tic-tac-toe</t>
  </si>
  <si>
    <t>Implement legal turns, invalid moves, win/draw and no moves after end in 45 minutes. Explain the counter optimization.</t>
  </si>
  <si>
    <t>problems/tictactoe.cpp</t>
  </si>
  <si>
    <t>T17</t>
  </si>
  <si>
    <t>Snake and food variants</t>
  </si>
  <si>
    <t>Review sequential/all-food variants. Fix copied food map and restart lifetime. Test moving into vacated tail, growth, wall collision and repeat visits to eaten food.</t>
  </si>
  <si>
    <t>problems/snakeandfood.cpp
problems/snakefoodbetter.cpp</t>
  </si>
  <si>
    <t>T18</t>
  </si>
  <si>
    <t>File system and Composite</t>
  </si>
  <si>
    <t>Implement mkdir, ls, append and read; define file/directory collisions. Add a common FileSystemEntry interface to learn Composite. Test paths and ownership.</t>
  </si>
  <si>
    <t>problems/filesystem.cpp</t>
  </si>
  <si>
    <t>T19</t>
  </si>
  <si>
    <t>HashMap internals</t>
  </si>
  <si>
    <t>Checklist only</t>
  </si>
  <si>
    <t>Implement a small chained map: put/get/erase, collisions, load factor and rehash. Explain iterator invalidation and expected vs worst-case cost.</t>
  </si>
  <si>
    <t>image (3).png</t>
  </si>
  <si>
    <t>T20</t>
  </si>
  <si>
    <t>Command and text editor</t>
  </si>
  <si>
    <t>Implement execute/undo/redo; clear redo after a new command. Test empty history and invalid positions. Prevent dangling document pointers after deletion.</t>
  </si>
  <si>
    <t>problems/texteditor.cpp</t>
  </si>
  <si>
    <t>T21</t>
  </si>
  <si>
    <t>Chess model and movement strategies</t>
  </si>
  <si>
    <t>Incomplete code</t>
  </si>
  <si>
    <t>Complete knight and rook movement, occupancy/capture and turn checks. State omitted rules explicitly; do not spend the session building a full chess engine.</t>
  </si>
  <si>
    <t>problems/chess.cpp</t>
  </si>
  <si>
    <t>T22</t>
  </si>
  <si>
    <t>Splitwise</t>
  </si>
  <si>
    <t>Finish add expense, update balances, settlement and canremove(). Validate equal/exact/percent splits, use integer minor units with a rounding policy, preserve net balances.</t>
  </si>
  <si>
    <t>problems/splitwise.cpp</t>
  </si>
  <si>
    <t>T23</t>
  </si>
  <si>
    <t>Tests and service boundaries</t>
  </si>
  <si>
    <t>Add practice</t>
  </si>
  <si>
    <t>Add assertions for invalid splits, empty users and settlement invariants. Separate repository, service, domain objects and CLI. Inject fakes rather than using real external systems.</t>
  </si>
  <si>
    <t>T24</t>
  </si>
  <si>
    <t>Mutex, CV and producer-consumer</t>
  </si>
  <si>
    <t>Explain predicate checks under lock, spurious wakeups, notify vs unlock, two CVs, deadlock and lock order. Add close/drain semantics; ensure join terminates.</t>
  </si>
  <si>
    <t>Concurrency cpp/conditionvariable.cpp
Concurrency cpp/conditionvariable2.cpp
Concurrency cpp/producerconsumer.cpp
Concurrency cpp/producerconsumerbetter.cpp
Concurrency cpp/producerconsuer2.cpp</t>
  </si>
  <si>
    <t>T25</t>
  </si>
  <si>
    <t>Semaphores and bounded blocking queue</t>
  </si>
  <si>
    <t>Fix [this] capture in member predicates. Implement enqueue/dequeue and test empty/full blocking and shutdown. Know std::semaphore requires C++20.</t>
  </si>
  <si>
    <t>Concurrency cpp/semaphore.cpp
Concurrency cpp/semaphore_using_mutex_cv.cpp
Concurrency cpp/producerconsumer_semaphore.cpp
Concurrency cpp/boundedblockingqueue.cpp</t>
  </si>
  <si>
    <t>T26</t>
  </si>
  <si>
    <t>Promise, future and async</t>
  </si>
  <si>
    <t>Explain ownership transfer, get(), set_exception and deferred vs async launch. Add exception propagation.</t>
  </si>
  <si>
    <t>Concurrency cpp/promisefuture.cpp
Concurrency cpp/async.cpp</t>
  </si>
  <si>
    <t>T27</t>
  </si>
  <si>
    <t>Thread pool / executor</t>
  </si>
  <si>
    <t>Code submit, worker loop and drain shutdown. Add bounded capacity, rejection and exception handling. Validate worker count; discuss cancellation contract.</t>
  </si>
  <si>
    <t>Concurrency cpp/threadpool.cpp</t>
  </si>
  <si>
    <t>T28</t>
  </si>
  <si>
    <t>Object pool</t>
  </si>
  <si>
    <t>Explain acquire/release/close, exception-safe return, duplicate release prevention and timeout. A raw-pointer version still needs explicit ownership.</t>
  </si>
  <si>
    <t>Concurrency cpp/objectpool.cpp</t>
  </si>
  <si>
    <t>T29</t>
  </si>
  <si>
    <t>LRU and generic cache</t>
  </si>
  <si>
    <t>Rebuild map + DLL; test update, eviction, capacity 0/1 and missing keys. Define copying and destructor behavior.</t>
  </si>
  <si>
    <t>problems/lrucache.cpp
problems/genericlrucache.cpp</t>
  </si>
  <si>
    <t>T30</t>
  </si>
  <si>
    <t>Thread-safe and sharded LRU</t>
  </si>
  <si>
    <t>Start with one mutex, then shard. Explain per-shard eviction, uneven utilization, non-atomic aggregate size and zero-capacity shards. get() mutates recency.</t>
  </si>
  <si>
    <t>problems/lrucache-multithreaded.cpp
problems/threadsafecache.cpp
problems/lru-multithreaded.txt</t>
  </si>
  <si>
    <t>T31</t>
  </si>
  <si>
    <t>Fixed-window and token-bucket limiter</t>
  </si>
  <si>
    <t>Persist user state by reference, refill existing tokens, require tokens &gt;= 1, validate config, inject clock and select config by tier. Test bursts and fractional refill.</t>
  </si>
  <si>
    <t>problems/ratelimiter.cpp
problems/ratelimiter-sharded.cpp
problems/ratelimiter.txt</t>
  </si>
  <si>
    <t>T32</t>
  </si>
  <si>
    <t>Sliding-window and concurrency recall</t>
  </si>
  <si>
    <t>Add implementation</t>
  </si>
  <si>
    <t>Implement sliding-window log or counter; compare boundary bursts and memory cost. Explain leaky bucket and atomics basics without attempting a lock-free container.</t>
  </si>
  <si>
    <t>T33</t>
  </si>
  <si>
    <t>Movie booking</t>
  </si>
  <si>
    <t>Use show+seat identity; replace expired locks. Test two claimants, duplicate seats, timeout and payment failure. Confirm multiple seats atomically and synchronize booking IDs/storage.</t>
  </si>
  <si>
    <t>problems/bookingsystem.cpp
problems/bs.cpp</t>
  </si>
  <si>
    <t>T34</t>
  </si>
  <si>
    <t>Idempotency and failure-safe workflows</t>
  </si>
  <si>
    <t>Add follow-up</t>
  </si>
  <si>
    <t>Extend booking with request ID, explicit hold/payment/booking states and refund/reconciliation after payment succeeds but confirmation fails. Use authoritative seat prices.</t>
  </si>
  <si>
    <t>T35</t>
  </si>
  <si>
    <t>Pub/sub</t>
  </si>
  <si>
    <t>Implement topic delivery, subscribe/unsubscribe and graceful shutdown. Stop/join workers before destroying subscribers. Explain slow-subscriber isolation and bounded buffers.</t>
  </si>
  <si>
    <t>problems/pusub.cpp
problems/pubsub.txt</t>
  </si>
  <si>
    <t>T36</t>
  </si>
  <si>
    <t>Message queue</t>
  </si>
  <si>
    <t>Partial via queue/pubsub</t>
  </si>
  <si>
    <t>Extend bounded queue to competing consumers; add message ID, ack/retry and dead-letter policy as scoped follow-ups. Compare one-consumer-per-task with pub/sub fan-out.</t>
  </si>
  <si>
    <t>T37</t>
  </si>
  <si>
    <t>Inventory management</t>
  </si>
  <si>
    <t>Model SKU quantity and reserve/release/replenish. Keep aggregate stock equal to item totals; prevent overselling and duplicate reservations.</t>
  </si>
  <si>
    <t>problems/inventory.cpp</t>
  </si>
  <si>
    <t>T38</t>
  </si>
  <si>
    <t>Elevator</t>
  </si>
  <si>
    <t>Separate dispatch policy and car controller. Visit pickup before destination; model requests over time, door state and direction changes. Explain SCAN/LOOK and fairness.</t>
  </si>
  <si>
    <t>problems/elevator.cpp</t>
  </si>
  <si>
    <t>T39</t>
  </si>
  <si>
    <t>Calendar / meeting-room scheduler</t>
  </si>
  <si>
    <t>Define half-open intervals, conflict checks, create/cancel and resource ownership. Test concurrent reservations; discuss timezone/recurrence scope.</t>
  </si>
  <si>
    <t>T40</t>
  </si>
  <si>
    <t>Uber ride lifecycle</t>
  </si>
  <si>
    <t>Implement request, accept, start, complete and cancel states with pricing/matching strategies. Accept one driver atomically. Keep this LLD, not a distributed HLD.</t>
  </si>
  <si>
    <t>T41</t>
  </si>
  <si>
    <t>Stack Overflow</t>
  </si>
  <si>
    <t>Model question, answer, comment, vote and accepted answer. Enforce one vote per user/entity and author permissions. Use services/repos with in-memory storage.</t>
  </si>
  <si>
    <t>T42</t>
  </si>
  <si>
    <t>Facade and Template Method</t>
  </si>
  <si>
    <t>Explain purpose and one small example each. Recognize Proxy/Iterator; no need to memorize every GoF pattern.</t>
  </si>
  <si>
    <t>T43</t>
  </si>
  <si>
    <t>Repair weak-topic implementation</t>
  </si>
  <si>
    <t>Revisit the weakest P0 task. Reproduce the bug, fix it in your practice copy and add a focused assertion.</t>
  </si>
  <si>
    <t>T44</t>
  </si>
  <si>
    <t>Mock 1: domain design</t>
  </si>
  <si>
    <t>Mock</t>
  </si>
  <si>
    <t>45-minute closed-book booking or Splitwise: 5 requirements + 10 model + 25 code + 5 tests. Then spend 45 minutes evaluating, fixing and recording gaps.</t>
  </si>
  <si>
    <t>T45</t>
  </si>
  <si>
    <t>Mock 2: concurrency design</t>
  </si>
  <si>
    <t>45-minute closed-book thread pool or LRU. Explain shared state, critical sections and shutdown. Review for 45 minutes using the same rubric.</t>
  </si>
  <si>
    <t>T46</t>
  </si>
  <si>
    <t>Mock 3: unseen variation</t>
  </si>
  <si>
    <t>45-minute notification dispatcher with channels, subscriptions and delivery retry, then 45-minute review. Apply familiar patterns to an unfamiliar prompt.</t>
  </si>
  <si>
    <t>T47</t>
  </si>
  <si>
    <t>Final recall and regression checks</t>
  </si>
  <si>
    <t>Review all P0 gaps and overdue recall items. Recode the weakest core method and test it. Explain every repo pattern, its alternative and when not to use it.</t>
  </si>
  <si>
    <t>Repository assessment and repair priorities</t>
  </si>
  <si>
    <t>Priorities reflect prerequisite value and transferability, not measured company question frequency.</t>
  </si>
  <si>
    <t>Area</t>
  </si>
  <si>
    <t>Finding</t>
  </si>
  <si>
    <t>Action / interpretation</t>
  </si>
  <si>
    <t>Evidence</t>
  </si>
  <si>
    <t>Plan day</t>
  </si>
  <si>
    <t>Type</t>
  </si>
  <si>
    <t>Overall assessment</t>
  </si>
  <si>
    <t>Broad syllabus; uneven implementation quality</t>
  </si>
  <si>
    <t>Enough breadth for a strong LLD revision base once gaps are repaired. It is not proof of interview readiness.</t>
  </si>
  <si>
    <t>Static review and C++20 syntax checks; no full runtime/concurrency audit.</t>
  </si>
  <si>
    <t>All</t>
  </si>
  <si>
    <t>Assessment</t>
  </si>
  <si>
    <t>Compilation baseline</t>
  </si>
  <si>
    <t>44 / 52 C++ files pass syntax-only check</t>
  </si>
  <si>
    <t>8 fail as whole files: 5 combine examples/variants; 2 miss this capture; Splitwise misses canremove. Separate snippets before treating them as runnable answers.</t>
  </si>
  <si>
    <t>g++ -std=c++20 -pthread -fsyntax-only; 9 Oct 2026</t>
  </si>
  <si>
    <t>1–21</t>
  </si>
  <si>
    <t>Verified</t>
  </si>
  <si>
    <t>OOP, SOLID and modeling</t>
  </si>
  <si>
    <t>Examples exist; no dedicated structured theory guide</t>
  </si>
  <si>
    <t>Add SRP/OCP/LSP/ISP/DIP, cohesion/coupling, composition vs inheritance, associations and class/sequence sketches.</t>
  </si>
  <si>
    <t>README is only a title; theory is mostly inline examples.</t>
  </si>
  <si>
    <t>1</t>
  </si>
  <si>
    <t>Gap</t>
  </si>
  <si>
    <t>Testing and boundaries</t>
  </si>
  <si>
    <t>Demo main() calls; no dedicated automated test suite found</t>
  </si>
  <si>
    <t>Use assertions, fake Clock/Payment/Repository, invalid-input tests and failure/concurrency tests. Define ownership and exception guarantees.</t>
  </si>
  <si>
    <t>Tracked-file inventory and reviewed demonstrations.</t>
  </si>
  <si>
    <t>1, 10, 20–21</t>
  </si>
  <si>
    <t>Rate limiter state</t>
  </si>
  <si>
    <t>Basic implementation mutates copies of user state</t>
  </si>
  <si>
    <t>Use a reference. Refill from existing tokens and persist timestamps. Sharded token bucket must require &gt;= 1 token, not nonzero.</t>
  </si>
  <si>
    <t>problems/ratelimiter.cpp:62,96; ratelimiter-sharded.cpp:87</t>
  </si>
  <si>
    <t>14</t>
  </si>
  <si>
    <t>Code defect</t>
  </si>
  <si>
    <t>Booking expired holds</t>
  </si>
  <si>
    <t>emplace does not overwrite an existing expired key</t>
  </si>
  <si>
    <t>Replace or erase/reinsert expired LockInfo. Add an expired-hold reacquisition test; bs.cpp already uses assignment.</t>
  </si>
  <si>
    <t>problems/bookingsystem.cpp:99</t>
  </si>
  <si>
    <t>15</t>
  </si>
  <si>
    <t>Booking atomicity</t>
  </si>
  <si>
    <t>Individual confirmations can leave partial booking after payment</t>
  </si>
  <si>
    <t>Use a single all-seats validation/commit boundary, synchronized booking storage, idempotent requests and compensation/reconciliation.</t>
  </si>
  <si>
    <t>bookingsystem.cpp and bs.cpp: payment precedes per-seat confirm loop.</t>
  </si>
  <si>
    <t>Missing follow-up</t>
  </si>
  <si>
    <t>Splitwise completion</t>
  </si>
  <si>
    <t>canremove() undefined; expense/settlement flows unfinished</t>
  </si>
  <si>
    <t>Complete service APIs, validate split totals, use minor units and define rounding. Test conservation of balances.</t>
  </si>
  <si>
    <t>problems/splitwise.cpp:231; empty main()</t>
  </si>
  <si>
    <t>10</t>
  </si>
  <si>
    <t>Compile + incomplete</t>
  </si>
  <si>
    <t>Semaphore / blocking queue</t>
  </si>
  <si>
    <t>Member predicates use [] and read members</t>
  </si>
  <si>
    <t>Capture this. Add positive-capacity validation and an explicit close contract for blocked producers/consumers.</t>
  </si>
  <si>
    <t>Concurrency cpp/boundedblockingqueue.cpp:16; semaphore_using_mutex_cv.cpp:19</t>
  </si>
  <si>
    <t>11</t>
  </si>
  <si>
    <t>Compile defect</t>
  </si>
  <si>
    <t>Producer-consumer shutdown</t>
  </si>
  <si>
    <t>Consumers loop forever while main joins them</t>
  </si>
  <si>
    <t>Add closed flag, notify_all and drain/stop policy. Detached consumer variant needs lifetime-safe shutdown too.</t>
  </si>
  <si>
    <t>producerconsumer.cpp; producerconsumerbetter.cpp; producerconsumer_semaphore.cpp</t>
  </si>
  <si>
    <t>Pub/sub destruction order</t>
  </si>
  <si>
    <t>Subscribers are destroyed before topics finish draining</t>
  </si>
  <si>
    <t>Explicitly stop/join all topic workers before subscriber destruction. Snapshotting borrowed pointers does not own their lifetime.</t>
  </si>
  <si>
    <t>problems/pusub.cpp:102–103; reverse member destruction order</t>
  </si>
  <si>
    <t>16</t>
  </si>
  <si>
    <t>Lifetime risk</t>
  </si>
  <si>
    <t>C++ resource lifetime</t>
  </si>
  <si>
    <t>Raw owning pointers and copy semantics need explicit contracts</t>
  </si>
  <si>
    <t>Implement/descope copy, release owned resources, use virtual destruction and avoid dangling command/observer targets. Smart pointers help, but explicit ownership is required either way.</t>
  </si>
  <si>
    <t>LRU, text editor, state examples, sharded containers and factories.</t>
  </si>
  <si>
    <t>1, 9, 13</t>
  </si>
  <si>
    <t>Snake better variant</t>
  </si>
  <si>
    <t>Food map is copied, then pointed-to food is deleted</t>
  </si>
  <si>
    <t>Use the intended shared map reference. Fix restart/double-delete path and vacated-tail collision behavior. Treat better filenames as candidates, not guarantees.</t>
  </si>
  <si>
    <t>problems/snakefoodbetter.cpp:235; cleargame() and destructor</t>
  </si>
  <si>
    <t>7</t>
  </si>
  <si>
    <t>Parking lot scope</t>
  </si>
  <si>
    <t>No actual finite spot allocation in base flow</t>
  </si>
  <si>
    <t>Add spot inventory, compatible allocation, release, fee policy and full-lot failure before advanced patterns.</t>
  </si>
  <si>
    <t>problems/parkinglot.cpp:132–181; appended duplicate Ticket</t>
  </si>
  <si>
    <t>4</t>
  </si>
  <si>
    <t>Incomplete scope</t>
  </si>
  <si>
    <t>ATM transaction order</t>
  </si>
  <si>
    <t>ATM cash reduced before bank balance check</t>
  </si>
  <si>
    <t>Validate first and commit bank/cash changes consistently; reject nonpositive amounts and test failed withdrawals.</t>
  </si>
  <si>
    <t>problems/atmmachine.cpp:188–189; Bankserver is a fixed stub.</t>
  </si>
  <si>
    <t>3</t>
  </si>
  <si>
    <t>Chess scope</t>
  </si>
  <si>
    <t>Movement strategies and status functions are empty</t>
  </si>
  <si>
    <t>Complete a bounded piece subset with real validation; discuss check/checkmate, castling and other omissions.</t>
  </si>
  <si>
    <t>problems/chess.cpp: King/Queen/Knight getmoves and status stubs</t>
  </si>
  <si>
    <t>9</t>
  </si>
  <si>
    <t>Cache capacity and cost</t>
  </si>
  <si>
    <t>Zero-capacity shards can evict sentinel; map is logarithmic</t>
  </si>
  <si>
    <t>Validate shard count/capacity, decide zero-capacity behavior, release shards and explain approximate LRU. Use unordered_map if expected O(1) is required.</t>
  </si>
  <si>
    <t>genericlrucache.cpp; lrucache-multithreaded.cpp; threadsafecache.cpp</t>
  </si>
  <si>
    <t>13</t>
  </si>
  <si>
    <t>Code + tradeoff</t>
  </si>
  <si>
    <t>Domain behavior is simplified</t>
  </si>
  <si>
    <t>Inventory: reconcile item sum with capacity and add reserve/release. Elevator: serve pickup before destination and process events over time.</t>
  </si>
  <si>
    <t>inventory.cpp: refill(); elevator.cpp: processrequests()/addrequest()</t>
  </si>
  <si>
    <t>17</t>
  </si>
  <si>
    <t>Screenshot-only topics</t>
  </si>
  <si>
    <t>HashMap, Uber, Calendar and Stack Overflow lack implementations</t>
  </si>
  <si>
    <t>These are already in the repo checklist. Build scoped versions on scheduled days. Message queue is only partially covered by queue/pubsub examples.</t>
  </si>
  <si>
    <t>8, 16, 18–19</t>
  </si>
  <si>
    <t>Checklist gap</t>
  </si>
  <si>
    <t>Pattern additions</t>
  </si>
  <si>
    <t>Command exists; Composite not explicit</t>
  </si>
  <si>
    <t>Command is in texteditor.cpp, so do not relearn it as missing. Add Composite using filesystem. Learn Facade/Template Method briefly; advanced GoF patterns are low priority.</t>
  </si>
  <si>
    <t>texteditor.cpp; filesystem.cpp; designpatterns/ inventory</t>
  </si>
  <si>
    <t>8, 9, 19</t>
  </si>
  <si>
    <t>Theory gap</t>
  </si>
  <si>
    <t>Rate-limit variants and tier routing</t>
  </si>
  <si>
    <t>Fixed/token exist; sliding window and tier mapping incomplete</t>
  </si>
  <si>
    <t>Implement one sliding-window variant, explain leaky bucket and route user tier to configuration; validate window and shard count.</t>
  </si>
  <si>
    <t>ratelimiter.txt says support 4 types; code implements 2 and tier is not used for config selection.</t>
  </si>
  <si>
    <t>Coverage gap</t>
  </si>
  <si>
    <t>Timed implementation</t>
  </si>
  <si>
    <t>Topic completion alone does not show transfer under pressure</t>
  </si>
  <si>
    <t>Practice three closed-book mocks and at least one unfamiliar variation. Scope the core flow to 45 minutes, then repair and test.</t>
  </si>
  <si>
    <t>Recommended revision method, not a company-specific guaranteed format.</t>
  </si>
  <si>
    <t>20–21</t>
  </si>
  <si>
    <t>Practice gap</t>
  </si>
  <si>
    <t>Avoid unnecessary syllabus expansion</t>
  </si>
  <si>
    <t>Most extra CRUD systems repeat covered skills</t>
  </si>
  <si>
    <t>Do not add many hotel/library/car-rental clones now. After gaps, optional scheduler or notification-dispatcher extensions are enough.</t>
  </si>
  <si>
    <t>Assessment based on coverage overlap.</t>
  </si>
  <si>
    <t>19–21</t>
  </si>
  <si>
    <t>Recommendation</t>
  </si>
  <si>
    <t>Interview expectations</t>
  </si>
  <si>
    <t>Robust code and edge cases matter</t>
  </si>
  <si>
    <t>Amazon official SDE II guidance emphasizes syntactically correct, robust, well-tested code. This supports prioritizing fixes and tests, not a universal MNC question-frequency ranking.</t>
  </si>
  <si>
    <t>https://amazon.jobs/content/en/how-we-hire/sde-ii-interview-prep</t>
  </si>
  <si>
    <t>Official source</t>
  </si>
  <si>
    <t>Complete source-file coverage</t>
  </si>
  <si>
    <t>Repository snapshot: 5e716f36cc0815480d0b5346a0233b7bce807e1f (reviewed 9 Oct 2026). All 52 C++ files and all three problem notes are mapped.</t>
  </si>
  <si>
    <t>Repository path</t>
  </si>
  <si>
    <t>Topic IDs</t>
  </si>
  <si>
    <t>21-day session</t>
  </si>
  <si>
    <t>C++20 syntax</t>
  </si>
  <si>
    <t>Inspection note</t>
  </si>
  <si>
    <t>Pinned source URL</t>
  </si>
  <si>
    <t>Pass</t>
  </si>
  <si>
    <t>Mapped to a topic; passing syntax does not establish correctness.</t>
  </si>
  <si>
    <t>https://github.com/ksh428/LLD-problems-and-theory/blob/5e716f36cc0815480d0b5346a0233b7bce807e1f/Concepts%20cpp/operatoroverloading.cpp</t>
  </si>
  <si>
    <t>Concurrency cpp/async.cpp</t>
  </si>
  <si>
    <t>12</t>
  </si>
  <si>
    <t>https://github.com/ksh428/LLD-problems-and-theory/blob/5e716f36cc0815480d0b5346a0233b7bce807e1f/Concurrency%20cpp/async.cpp</t>
  </si>
  <si>
    <t>Concurrency cpp/boundedblockingqueue.cpp</t>
  </si>
  <si>
    <t>Fail</t>
  </si>
  <si>
    <t>LLD-problems-and-theory/Concurrency cpp/boundedblockingqueue.cpp:16:32: error: ‘this’ was not captured for this lambda function</t>
  </si>
  <si>
    <t>https://github.com/ksh428/LLD-problems-and-theory/blob/5e716f36cc0815480d0b5346a0233b7bce807e1f/Concurrency%20cpp/boundedblockingqueue.cpp</t>
  </si>
  <si>
    <t>Concurrency cpp/conditionvariable.cpp</t>
  </si>
  <si>
    <t>https://github.com/ksh428/LLD-problems-and-theory/blob/5e716f36cc0815480d0b5346a0233b7bce807e1f/Concurrency%20cpp/conditionvariable.cpp</t>
  </si>
  <si>
    <t>Concurrency cpp/conditionvariable2.cpp</t>
  </si>
  <si>
    <t>https://github.com/ksh428/LLD-problems-and-theory/blob/5e716f36cc0815480d0b5346a0233b7bce807e1f/Concurrency%20cpp/conditionvariable2.cpp</t>
  </si>
  <si>
    <t>https://github.com/ksh428/LLD-problems-and-theory/blob/5e716f36cc0815480d0b5346a0233b7bce807e1f/Concurrency%20cpp/objectpool.cpp</t>
  </si>
  <si>
    <t>Concurrency cpp/producerconsuer2.cpp</t>
  </si>
  <si>
    <t>https://github.com/ksh428/LLD-problems-and-theory/blob/5e716f36cc0815480d0b5346a0233b7bce807e1f/Concurrency%20cpp/producerconsuer2.cpp</t>
  </si>
  <si>
    <t>Concurrency cpp/producerconsumer.cpp</t>
  </si>
  <si>
    <t>https://github.com/ksh428/LLD-problems-and-theory/blob/5e716f36cc0815480d0b5346a0233b7bce807e1f/Concurrency%20cpp/producerconsumer.cpp</t>
  </si>
  <si>
    <t>Concurrency cpp/producerconsumer_semaphore.cpp</t>
  </si>
  <si>
    <t>https://github.com/ksh428/LLD-problems-and-theory/blob/5e716f36cc0815480d0b5346a0233b7bce807e1f/Concurrency%20cpp/producerconsumer_semaphore.cpp</t>
  </si>
  <si>
    <t>Concurrency cpp/producerconsumerbetter.cpp</t>
  </si>
  <si>
    <t>https://github.com/ksh428/LLD-problems-and-theory/blob/5e716f36cc0815480d0b5346a0233b7bce807e1f/Concurrency%20cpp/producerconsumerbetter.cpp</t>
  </si>
  <si>
    <t>Concurrency cpp/promisefuture.cpp</t>
  </si>
  <si>
    <t>https://github.com/ksh428/LLD-problems-and-theory/blob/5e716f36cc0815480d0b5346a0233b7bce807e1f/Concurrency%20cpp/promisefuture.cpp</t>
  </si>
  <si>
    <t>Concurrency cpp/semaphore.cpp</t>
  </si>
  <si>
    <t>https://github.com/ksh428/LLD-problems-and-theory/blob/5e716f36cc0815480d0b5346a0233b7bce807e1f/Concurrency%20cpp/semaphore.cpp</t>
  </si>
  <si>
    <t>Concurrency cpp/semaphore_using_mutex_cv.cpp</t>
  </si>
  <si>
    <t>LLD-problems-and-theory/Concurrency cpp/semaphore_using_mutex_cv.cpp:19:32: error: ‘this’ was not captured for this lambda function</t>
  </si>
  <si>
    <t>https://github.com/ksh428/LLD-problems-and-theory/blob/5e716f36cc0815480d0b5346a0233b7bce807e1f/Concurrency%20cpp/semaphore_using_mutex_cv.cpp</t>
  </si>
  <si>
    <t>https://github.com/ksh428/LLD-problems-and-theory/blob/5e716f36cc0815480d0b5346a0233b7bce807e1f/Concurrency%20cpp/threadpool.cpp</t>
  </si>
  <si>
    <t>README.md</t>
  </si>
  <si>
    <t>Reference only</t>
  </si>
  <si>
    <t>Not scheduled</t>
  </si>
  <si>
    <t>Not applicable</t>
  </si>
  <si>
    <t>Title only.</t>
  </si>
  <si>
    <t>https://github.com/ksh428/LLD-problems-and-theory/blob/5e716f36cc0815480d0b5346a0233b7bce807e1f/README.md</t>
  </si>
  <si>
    <t>designpatterns/abstractfactory.cpp</t>
  </si>
  <si>
    <t>2</t>
  </si>
  <si>
    <t>https://github.com/ksh428/LLD-problems-and-theory/blob/5e716f36cc0815480d0b5346a0233b7bce807e1f/designpatterns/abstractfactory.cpp</t>
  </si>
  <si>
    <t>5</t>
  </si>
  <si>
    <t>LLD-problems-and-theory/designpatterns/adapter.cpp:86:7: error: redefinition of ‘class Adapter’</t>
  </si>
  <si>
    <t>https://github.com/ksh428/LLD-problems-and-theory/blob/5e716f36cc0815480d0b5346a0233b7bce807e1f/designpatterns/adapter.cpp</t>
  </si>
  <si>
    <t>designpatterns/builderactual.cpp</t>
  </si>
  <si>
    <t>https://github.com/ksh428/LLD-problems-and-theory/blob/5e716f36cc0815480d0b5346a0233b7bce807e1f/designpatterns/builderactual.cpp</t>
  </si>
  <si>
    <t>designpatterns/builderdp.cpp</t>
  </si>
  <si>
    <t>LLD-problems-and-theory/designpatterns/builderdp.cpp:89:7: error: redefinition of ‘class Desktop’</t>
  </si>
  <si>
    <t>https://github.com/ksh428/LLD-problems-and-theory/blob/5e716f36cc0815480d0b5346a0233b7bce807e1f/designpatterns/builderdp.cpp</t>
  </si>
  <si>
    <t>https://github.com/ksh428/LLD-problems-and-theory/blob/5e716f36cc0815480d0b5346a0233b7bce807e1f/designpatterns/chainofresponsibility.cpp</t>
  </si>
  <si>
    <t>designpatterns/decorator.cpp</t>
  </si>
  <si>
    <t>https://github.com/ksh428/LLD-problems-and-theory/blob/5e716f36cc0815480d0b5346a0233b7bce807e1f/designpatterns/decorator.cpp</t>
  </si>
  <si>
    <t>designpatterns/dependencyingection.cpp</t>
  </si>
  <si>
    <t>https://github.com/ksh428/LLD-problems-and-theory/blob/5e716f36cc0815480d0b5346a0233b7bce807e1f/designpatterns/dependencyingection.cpp</t>
  </si>
  <si>
    <t>designpatterns/factory.cpp</t>
  </si>
  <si>
    <t>https://github.com/ksh428/LLD-problems-and-theory/blob/5e716f36cc0815480d0b5346a0233b7bce807e1f/designpatterns/factory.cpp</t>
  </si>
  <si>
    <t>6</t>
  </si>
  <si>
    <t>https://github.com/ksh428/LLD-problems-and-theory/blob/5e716f36cc0815480d0b5346a0233b7bce807e1f/designpatterns/observer.cpp</t>
  </si>
  <si>
    <t>designpatterns/singleton.cpp</t>
  </si>
  <si>
    <t>https://github.com/ksh428/LLD-problems-and-theory/blob/5e716f36cc0815480d0b5346a0233b7bce807e1f/designpatterns/singleton.cpp</t>
  </si>
  <si>
    <t>designpatterns/state.cpp</t>
  </si>
  <si>
    <t>https://github.com/ksh428/LLD-problems-and-theory/blob/5e716f36cc0815480d0b5346a0233b7bce807e1f/designpatterns/state.cpp</t>
  </si>
  <si>
    <t>designpatterns/statebetter.cpp</t>
  </si>
  <si>
    <t>https://github.com/ksh428/LLD-problems-and-theory/blob/5e716f36cc0815480d0b5346a0233b7bce807e1f/designpatterns/statebetter.cpp</t>
  </si>
  <si>
    <t>designpatterns/strategy.cpp</t>
  </si>
  <si>
    <t>LLD-problems-and-theory/designpatterns/strategy.cpp:109:5: error: redefinition of ‘int main()’</t>
  </si>
  <si>
    <t>https://github.com/ksh428/LLD-problems-and-theory/blob/5e716f36cc0815480d0b5346a0233b7bce807e1f/designpatterns/strategy.cpp</t>
  </si>
  <si>
    <t>designpatterns/strategy2.cpp</t>
  </si>
  <si>
    <t>https://github.com/ksh428/LLD-problems-and-theory/blob/5e716f36cc0815480d0b5346a0233b7bce807e1f/designpatterns/strategy2.cpp</t>
  </si>
  <si>
    <t>T19, T36, T39, T40, T41</t>
  </si>
  <si>
    <t>8, 16, 18, 19</t>
  </si>
  <si>
    <t>15-item checklist; existing coded items mapped via their source files.</t>
  </si>
  <si>
    <t>https://github.com/ksh428/LLD-problems-and-theory/blob/5e716f36cc0815480d0b5346a0233b7bce807e1f/image%20(3).png</t>
  </si>
  <si>
    <t>practice/rev/factory.cpp</t>
  </si>
  <si>
    <t>https://github.com/ksh428/LLD-problems-and-theory/blob/5e716f36cc0815480d0b5346a0233b7bce807e1f/practice/rev/factory.cpp</t>
  </si>
  <si>
    <t>https://github.com/ksh428/LLD-problems-and-theory/blob/5e716f36cc0815480d0b5346a0233b7bce807e1f/problems/atmmachine.cpp</t>
  </si>
  <si>
    <t>problems/bookingsystem.cpp</t>
  </si>
  <si>
    <t>https://github.com/ksh428/LLD-problems-and-theory/blob/5e716f36cc0815480d0b5346a0233b7bce807e1f/problems/bookingsystem.cpp</t>
  </si>
  <si>
    <t>problems/bs.cpp</t>
  </si>
  <si>
    <t>https://github.com/ksh428/LLD-problems-and-theory/blob/5e716f36cc0815480d0b5346a0233b7bce807e1f/problems/bs.cpp</t>
  </si>
  <si>
    <t>https://github.com/ksh428/LLD-problems-and-theory/blob/5e716f36cc0815480d0b5346a0233b7bce807e1f/problems/chess.cpp</t>
  </si>
  <si>
    <t>problems/coffemachine.cpp</t>
  </si>
  <si>
    <t>https://github.com/ksh428/LLD-problems-and-theory/blob/5e716f36cc0815480d0b5346a0233b7bce807e1f/problems/coffemachine.cpp</t>
  </si>
  <si>
    <t>https://github.com/ksh428/LLD-problems-and-theory/blob/5e716f36cc0815480d0b5346a0233b7bce807e1f/problems/elevator.cpp</t>
  </si>
  <si>
    <t>8</t>
  </si>
  <si>
    <t>https://github.com/ksh428/LLD-problems-and-theory/blob/5e716f36cc0815480d0b5346a0233b7bce807e1f/problems/filesystem.cpp</t>
  </si>
  <si>
    <t>problems/genericlrucache.cpp</t>
  </si>
  <si>
    <t>https://github.com/ksh428/LLD-problems-and-theory/blob/5e716f36cc0815480d0b5346a0233b7bce807e1f/problems/genericlrucache.cpp</t>
  </si>
  <si>
    <t>https://github.com/ksh428/LLD-problems-and-theory/blob/5e716f36cc0815480d0b5346a0233b7bce807e1f/problems/inventory.cpp</t>
  </si>
  <si>
    <t>problems/loggerbetter.cpp</t>
  </si>
  <si>
    <t>https://github.com/ksh428/LLD-problems-and-theory/blob/5e716f36cc0815480d0b5346a0233b7bce807e1f/problems/loggerbetter.cpp</t>
  </si>
  <si>
    <t>problems/loggingsystem.cpp</t>
  </si>
  <si>
    <t>https://github.com/ksh428/LLD-problems-and-theory/blob/5e716f36cc0815480d0b5346a0233b7bce807e1f/problems/loggingsystem.cpp</t>
  </si>
  <si>
    <t>problems/lru-multithreaded.txt</t>
  </si>
  <si>
    <t>https://github.com/ksh428/LLD-problems-and-theory/blob/5e716f36cc0815480d0b5346a0233b7bce807e1f/problems/lru-multithreaded.txt</t>
  </si>
  <si>
    <t>problems/lrucache-multithreaded.cpp</t>
  </si>
  <si>
    <t>https://github.com/ksh428/LLD-problems-and-theory/blob/5e716f36cc0815480d0b5346a0233b7bce807e1f/problems/lrucache-multithreaded.cpp</t>
  </si>
  <si>
    <t>problems/lrucache.cpp</t>
  </si>
  <si>
    <t>https://github.com/ksh428/LLD-problems-and-theory/blob/5e716f36cc0815480d0b5346a0233b7bce807e1f/problems/lrucache.cpp</t>
  </si>
  <si>
    <t>LLD-problems-and-theory/problems/parkinglot.cpp:202:7: error: redefinition of ‘class Ticket’</t>
  </si>
  <si>
    <t>https://github.com/ksh428/LLD-problems-and-theory/blob/5e716f36cc0815480d0b5346a0233b7bce807e1f/problems/parkinglot.cpp</t>
  </si>
  <si>
    <t>problems/pubsub.txt</t>
  </si>
  <si>
    <t>https://github.com/ksh428/LLD-problems-and-theory/blob/5e716f36cc0815480d0b5346a0233b7bce807e1f/problems/pubsub.txt</t>
  </si>
  <si>
    <t>problems/pusub.cpp</t>
  </si>
  <si>
    <t>https://github.com/ksh428/LLD-problems-and-theory/blob/5e716f36cc0815480d0b5346a0233b7bce807e1f/problems/pusub.cpp</t>
  </si>
  <si>
    <t>problems/ratelimiter-sharded.cpp</t>
  </si>
  <si>
    <t>https://github.com/ksh428/LLD-problems-and-theory/blob/5e716f36cc0815480d0b5346a0233b7bce807e1f/problems/ratelimiter-sharded.cpp</t>
  </si>
  <si>
    <t>problems/ratelimiter.cpp</t>
  </si>
  <si>
    <t>https://github.com/ksh428/LLD-problems-and-theory/blob/5e716f36cc0815480d0b5346a0233b7bce807e1f/problems/ratelimiter.cpp</t>
  </si>
  <si>
    <t>problems/ratelimiter.txt</t>
  </si>
  <si>
    <t>https://github.com/ksh428/LLD-problems-and-theory/blob/5e716f36cc0815480d0b5346a0233b7bce807e1f/problems/ratelimiter.txt</t>
  </si>
  <si>
    <t>problems/snakeandfood.cpp</t>
  </si>
  <si>
    <t>LLD-problems-and-theory/problems/snakeandfood.cpp:265:7: error: redefinition of ‘class Food’</t>
  </si>
  <si>
    <t>https://github.com/ksh428/LLD-problems-and-theory/blob/5e716f36cc0815480d0b5346a0233b7bce807e1f/problems/snakeandfood.cpp</t>
  </si>
  <si>
    <t>problems/snakefoodbetter.cpp</t>
  </si>
  <si>
    <t>https://github.com/ksh428/LLD-problems-and-theory/blob/5e716f36cc0815480d0b5346a0233b7bce807e1f/problems/snakefoodbetter.cpp</t>
  </si>
  <si>
    <t>LLD-problems-and-theory/problems/splitwise.cpp:231:13: error: ‘canremove’ was not declared in this scope; did you mean ‘remove’?</t>
  </si>
  <si>
    <t>https://github.com/ksh428/LLD-problems-and-theory/blob/5e716f36cc0815480d0b5346a0233b7bce807e1f/problems/splitwise.cpp</t>
  </si>
  <si>
    <t>https://github.com/ksh428/LLD-problems-and-theory/blob/5e716f36cc0815480d0b5346a0233b7bce807e1f/problems/texteditor.cpp</t>
  </si>
  <si>
    <t>problems/threadsafecache.cpp</t>
  </si>
  <si>
    <t>https://github.com/ksh428/LLD-problems-and-theory/blob/5e716f36cc0815480d0b5346a0233b7bce807e1f/problems/threadsafecache.cpp</t>
  </si>
  <si>
    <t>https://github.com/ksh428/LLD-problems-and-theory/blob/5e716f36cc0815480d0b5346a0233b7bce807e1f/problems/tictactoe.cpp</t>
  </si>
  <si>
    <t>revised-problems.txt</t>
  </si>
  <si>
    <t>Historical list: 5 marked done; file system/chess/Splitwise TBD. Not carried into new-cycle status.</t>
  </si>
  <si>
    <t>https://github.com/ksh428/LLD-problems-and-theory/blob/5e716f36cc0815480d0b5346a0233b7bce807e1f/revised-problems.txt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</si>
</sst>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0.0"/>
  </numFmts>
  <fonts count="5">
    <font>
      <sz val="11"/>
      <name val="Carlito"/>
    </font>
    <font>
      <sz val="11"/>
      <color rgb="FF182B49"/>
      <name val="Arial"/>
    </font>
    <font>
      <b/>
      <sz val="16"/>
      <color rgb="FF182B49"/>
      <name val="Arial"/>
    </font>
    <font>
      <b/>
      <sz val="11"/>
      <color rgb="FFFFFFFF"/>
      <name val="Arial"/>
    </font>
    <font>
      <b/>
      <sz val="11"/>
      <color rgb="FF182B49"/>
      <name val="Arial"/>
    </font>
  </fonts>
  <fills count="5">
    <fill>
      <patternFill patternType="none"/>
    </fill>
    <fill>
      <patternFill patternType="gray125"/>
    </fill>
    <fill>
      <patternFill patternType="solid">
        <fgColor rgb="FF274D7B"/>
      </patternFill>
    </fill>
    <fill>
      <patternFill patternType="solid">
        <fgColor rgb="FFEEF3F9"/>
      </patternFill>
    </fill>
    <fill>
      <patternFill patternType="solid">
        <fgColor rgb="FFFFF4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274D7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64" fontId="1" fillId="4" borderId="0" xfId="0" applyNumberFormat="1" applyFont="1" applyFill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164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9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4" fontId="1" fillId="3" borderId="0" xfId="0" applyNumberFormat="1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9" fontId="1" fillId="3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5">
    <dxf>
      <fill>
        <patternFill patternType="solid">
          <bgColor rgb="FFFBE4E3"/>
        </patternFill>
      </fill>
    </dxf>
    <dxf>
      <fill>
        <patternFill patternType="solid">
          <bgColor rgb="FFFBE4E3"/>
        </patternFill>
      </fill>
    </dxf>
    <dxf>
      <fill>
        <patternFill patternType="solid">
          <bgColor rgb="FFE3EDF9"/>
        </patternFill>
      </fill>
    </dxf>
    <dxf>
      <fill>
        <patternFill patternType="solid">
          <bgColor rgb="FFFBE4E3"/>
        </patternFill>
      </fill>
    </dxf>
    <dxf>
      <fill>
        <patternFill patternType="solid">
          <bgColor rgb="FFE3F2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picProgress" displayName="TopicProgress" ref="A6:N53" totalsRowShown="0">
  <tableColumns count="14">
    <tableColumn id="1" xr3:uid="{00000000-0010-0000-0000-000001000000}" name="ID"/>
    <tableColumn id="2" xr3:uid="{00000000-0010-0000-0000-000002000000}" name="21-day"/>
    <tableColumn id="3" xr3:uid="{00000000-0010-0000-0000-000003000000}" name="14-day"/>
    <tableColumn id="4" xr3:uid="{00000000-0010-0000-0000-000004000000}" name="Priority"/>
    <tableColumn id="5" xr3:uid="{00000000-0010-0000-0000-000005000000}" name="Topic"/>
    <tableColumn id="6" xr3:uid="{00000000-0010-0000-0000-000006000000}" name="Plan min"/>
    <tableColumn id="7" xr3:uid="{00000000-0010-0000-0000-000007000000}" name="Status"/>
    <tableColumn id="8" xr3:uid="{00000000-0010-0000-0000-000008000000}" name="Completed"/>
    <tableColumn id="9" xr3:uid="{00000000-0010-0000-0000-000009000000}" name="Review due"/>
    <tableColumn id="10" xr3:uid="{00000000-0010-0000-0000-00000A000000}" name="Actual min"/>
    <tableColumn id="11" xr3:uid="{00000000-0010-0000-0000-00000B000000}" name="Coverage"/>
    <tableColumn id="12" xr3:uid="{00000000-0010-0000-0000-00000C000000}" name="Acceptance criterion"/>
    <tableColumn id="13" xr3:uid="{00000000-0010-0000-0000-00000D000000}" name="Repo files"/>
    <tableColumn id="14" xr3:uid="{00000000-0010-0000-0000-00000E000000}" name="Notes / 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viewFindings" displayName="ReviewFindings" ref="A6:G30" totalsRowShown="0">
  <tableColumns count="7">
    <tableColumn id="1" xr3:uid="{00000000-0010-0000-0100-000001000000}" name="Priority"/>
    <tableColumn id="2" xr3:uid="{00000000-0010-0000-0100-000002000000}" name="Area"/>
    <tableColumn id="3" xr3:uid="{00000000-0010-0000-0100-000003000000}" name="Finding"/>
    <tableColumn id="4" xr3:uid="{00000000-0010-0000-0100-000004000000}" name="Action / interpretation"/>
    <tableColumn id="5" xr3:uid="{00000000-0010-0000-0100-000005000000}" name="Evidence"/>
    <tableColumn id="6" xr3:uid="{00000000-0010-0000-0100-000006000000}" name="Plan day"/>
    <tableColumn id="7" xr3:uid="{00000000-0010-0000-0100-000007000000}" name="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Coverage" displayName="SourceCoverage" ref="A6:F64" totalsRowShown="0">
  <tableColumns count="6">
    <tableColumn id="1" xr3:uid="{00000000-0010-0000-0200-000001000000}" name="Repository path"/>
    <tableColumn id="2" xr3:uid="{00000000-0010-0000-0200-000002000000}" name="Topic IDs"/>
    <tableColumn id="3" xr3:uid="{00000000-0010-0000-0200-000003000000}" name="21-day session"/>
    <tableColumn id="4" xr3:uid="{00000000-0010-0000-0200-000004000000}" name="C++20 syntax"/>
    <tableColumn id="5" xr3:uid="{00000000-0010-0000-0200-000005000000}" name="Inspection note"/>
    <tableColumn id="6" xr3:uid="{00000000-0010-0000-0200-000006000000}" name="Pinned 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2B49"/>
  </sheetPr>
  <dimension ref="A1:H61"/>
  <sheetViews>
    <sheetView showGridLines="0" tabSelected="1" workbookViewId="0">
      <pane ySplit="11" topLeftCell="A12" activePane="bottomLeft" state="frozen"/>
      <selection pane="bottomLeft" activeCell="C12" sqref="C12"/>
    </sheetView>
  </sheetViews>
  <sheetFormatPr defaultRowHeight="13.5"/>
  <cols>
    <col min="1" max="1" width="10" customWidth="1"/>
    <col min="2" max="2" width="15" customWidth="1"/>
    <col min="3" max="3" width="49" customWidth="1"/>
    <col min="4" max="5" width="12" customWidth="1"/>
    <col min="6" max="6" width="13" customWidth="1"/>
    <col min="7" max="7" width="18" customWidth="1"/>
    <col min="8" max="8" width="68" customWidth="1"/>
  </cols>
  <sheetData>
    <row r="1" spans="1:8" ht="24" customHeight="1">
      <c r="A1" s="1"/>
      <c r="B1" s="1"/>
      <c r="C1" s="1"/>
      <c r="D1" s="1"/>
      <c r="E1" s="1"/>
      <c r="F1" s="1"/>
      <c r="G1" s="1"/>
      <c r="H1" s="1"/>
    </row>
    <row r="2" spans="1:8" ht="24" customHeight="1">
      <c r="A2" s="2" t="s">
        <v>0</v>
      </c>
      <c r="B2" s="1"/>
      <c r="C2" s="1"/>
      <c r="D2" s="1"/>
      <c r="E2" s="1"/>
      <c r="F2" s="1"/>
      <c r="G2" s="1"/>
      <c r="H2" s="1"/>
    </row>
    <row r="3" spans="1:8" ht="24" customHeight="1">
      <c r="A3" s="3"/>
      <c r="B3" s="3"/>
      <c r="C3" s="3"/>
      <c r="D3" s="3"/>
      <c r="E3" s="3"/>
      <c r="F3" s="3"/>
      <c r="G3" s="3"/>
      <c r="H3" s="3"/>
    </row>
    <row r="4" spans="1:8" ht="24" customHeight="1">
      <c r="A4" s="1" t="s">
        <v>1</v>
      </c>
      <c r="B4" s="13">
        <v>46304</v>
      </c>
      <c r="C4" s="1" t="s">
        <v>2</v>
      </c>
      <c r="D4" s="1"/>
      <c r="E4" s="1"/>
      <c r="F4" s="1" t="s">
        <v>3</v>
      </c>
      <c r="G4" s="14">
        <v>3</v>
      </c>
      <c r="H4" s="1" t="s">
        <v>4</v>
      </c>
    </row>
    <row r="5" spans="1:8" ht="24" customHeight="1">
      <c r="A5" s="1"/>
      <c r="B5" s="1"/>
      <c r="C5" s="1"/>
      <c r="D5" s="1"/>
      <c r="E5" s="1"/>
      <c r="F5" s="1"/>
      <c r="G5" s="1"/>
      <c r="H5" s="1"/>
    </row>
    <row r="6" spans="1:8" ht="24" customHeight="1">
      <c r="A6" s="1" t="s">
        <v>5</v>
      </c>
      <c r="B6" s="1">
        <f>COUNTA('Topic Tracker'!A7:A53)</f>
        <v>47</v>
      </c>
      <c r="C6" s="1" t="s">
        <v>6</v>
      </c>
      <c r="D6" s="1">
        <f>COUNTIFS('Topic Tracker'!G7:G53,"Done")</f>
        <v>0</v>
      </c>
      <c r="E6" s="1" t="s">
        <v>7</v>
      </c>
      <c r="F6" s="15">
        <f>D6/B6</f>
        <v>0</v>
      </c>
      <c r="G6" s="1" t="s">
        <v>8</v>
      </c>
      <c r="H6" s="16">
        <f>SUM('Topic Tracker'!F7:F53)/60</f>
        <v>60.166666666666664</v>
      </c>
    </row>
    <row r="7" spans="1:8" ht="24" customHeight="1">
      <c r="A7" s="1"/>
      <c r="B7" s="1"/>
      <c r="C7" s="1"/>
      <c r="D7" s="1"/>
      <c r="E7" s="1"/>
      <c r="F7" s="1"/>
      <c r="G7" s="1"/>
      <c r="H7" s="1"/>
    </row>
    <row r="8" spans="1:8" ht="24" customHeight="1">
      <c r="A8" s="1" t="s">
        <v>9</v>
      </c>
      <c r="B8" s="1"/>
      <c r="C8" s="1"/>
      <c r="D8" s="1"/>
      <c r="E8" s="1"/>
      <c r="F8" s="1"/>
      <c r="G8" s="1"/>
      <c r="H8" s="1"/>
    </row>
    <row r="9" spans="1:8" ht="16.5" customHeight="1">
      <c r="A9" s="1" t="s">
        <v>10</v>
      </c>
      <c r="B9" s="1"/>
      <c r="C9" s="1"/>
      <c r="D9" s="1"/>
      <c r="E9" s="1"/>
      <c r="F9" s="1"/>
      <c r="G9" s="1"/>
      <c r="H9" s="1"/>
    </row>
    <row r="10" spans="1:8" ht="24" hidden="1" customHeight="1">
      <c r="A10" s="1"/>
      <c r="B10" s="1"/>
      <c r="C10" s="1"/>
      <c r="D10" s="1"/>
      <c r="E10" s="1"/>
      <c r="F10" s="1"/>
      <c r="G10" s="1"/>
      <c r="H10" s="1"/>
    </row>
    <row r="11" spans="1:8" ht="34.049999999999997" customHeight="1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5</v>
      </c>
      <c r="F11" s="4" t="s">
        <v>15</v>
      </c>
      <c r="G11" s="4" t="s">
        <v>7</v>
      </c>
      <c r="H11" s="4" t="s">
        <v>16</v>
      </c>
    </row>
    <row r="12" spans="1:8" ht="47" customHeight="1">
      <c r="A12" s="5">
        <v>1</v>
      </c>
      <c r="B12" s="17">
        <f t="shared" ref="B12:B32" si="0">$B$4+A12-1</f>
        <v>46304</v>
      </c>
      <c r="C12" s="7" t="s">
        <v>17</v>
      </c>
      <c r="D12" s="18">
        <f>SUMIFS('Topic Tracker'!$F$7:$F$53,'Topic Tracker'!$B$7:$B$53,A12)/60</f>
        <v>3</v>
      </c>
      <c r="E12" s="5">
        <f>COUNTIFS('Topic Tracker'!$B$7:$B$53,A12)</f>
        <v>3</v>
      </c>
      <c r="F12" s="5">
        <f>COUNTIFS('Topic Tracker'!$B$7:$B$53,A12,'Topic Tracker'!$G$7:$G$53,"Done")</f>
        <v>0</v>
      </c>
      <c r="G12" s="19">
        <f t="shared" ref="G12:G32" si="1">F12/E12</f>
        <v>0</v>
      </c>
      <c r="H12" s="7" t="s">
        <v>18</v>
      </c>
    </row>
    <row r="13" spans="1:8" ht="47" customHeight="1">
      <c r="A13" s="1">
        <v>2</v>
      </c>
      <c r="B13" s="12">
        <f t="shared" si="0"/>
        <v>46305</v>
      </c>
      <c r="C13" s="6" t="s">
        <v>19</v>
      </c>
      <c r="D13" s="16">
        <f>SUMIFS('Topic Tracker'!$F$7:$F$53,'Topic Tracker'!$B$7:$B$53,A13)/60</f>
        <v>2.6666666666666665</v>
      </c>
      <c r="E13" s="1">
        <f>COUNTIFS('Topic Tracker'!$B$7:$B$53,A13)</f>
        <v>2</v>
      </c>
      <c r="F13" s="1">
        <f>COUNTIFS('Topic Tracker'!$B$7:$B$53,A13,'Topic Tracker'!$G$7:$G$53,"Done")</f>
        <v>0</v>
      </c>
      <c r="G13" s="15">
        <f t="shared" si="1"/>
        <v>0</v>
      </c>
      <c r="H13" s="6" t="s">
        <v>20</v>
      </c>
    </row>
    <row r="14" spans="1:8" ht="47" customHeight="1">
      <c r="A14" s="5">
        <v>3</v>
      </c>
      <c r="B14" s="17">
        <f t="shared" si="0"/>
        <v>46306</v>
      </c>
      <c r="C14" s="7" t="s">
        <v>21</v>
      </c>
      <c r="D14" s="18">
        <f>SUMIFS('Topic Tracker'!$F$7:$F$53,'Topic Tracker'!$B$7:$B$53,A14)/60</f>
        <v>2.9166666666666665</v>
      </c>
      <c r="E14" s="5">
        <f>COUNTIFS('Topic Tracker'!$B$7:$B$53,A14)</f>
        <v>3</v>
      </c>
      <c r="F14" s="5">
        <f>COUNTIFS('Topic Tracker'!$B$7:$B$53,A14,'Topic Tracker'!$G$7:$G$53,"Done")</f>
        <v>0</v>
      </c>
      <c r="G14" s="19">
        <f t="shared" si="1"/>
        <v>0</v>
      </c>
      <c r="H14" s="7" t="s">
        <v>22</v>
      </c>
    </row>
    <row r="15" spans="1:8" ht="47" customHeight="1">
      <c r="A15" s="1">
        <v>4</v>
      </c>
      <c r="B15" s="12">
        <f t="shared" si="0"/>
        <v>46307</v>
      </c>
      <c r="C15" s="6" t="s">
        <v>23</v>
      </c>
      <c r="D15" s="16">
        <f>SUMIFS('Topic Tracker'!$F$7:$F$53,'Topic Tracker'!$B$7:$B$53,A15)/60</f>
        <v>2.75</v>
      </c>
      <c r="E15" s="1">
        <f>COUNTIFS('Topic Tracker'!$B$7:$B$53,A15)</f>
        <v>2</v>
      </c>
      <c r="F15" s="1">
        <f>COUNTIFS('Topic Tracker'!$B$7:$B$53,A15,'Topic Tracker'!$G$7:$G$53,"Done")</f>
        <v>0</v>
      </c>
      <c r="G15" s="15">
        <f t="shared" si="1"/>
        <v>0</v>
      </c>
      <c r="H15" s="6" t="s">
        <v>24</v>
      </c>
    </row>
    <row r="16" spans="1:8" ht="47" customHeight="1">
      <c r="A16" s="5">
        <v>5</v>
      </c>
      <c r="B16" s="17">
        <f t="shared" si="0"/>
        <v>46308</v>
      </c>
      <c r="C16" s="7" t="s">
        <v>25</v>
      </c>
      <c r="D16" s="18">
        <f>SUMIFS('Topic Tracker'!$F$7:$F$53,'Topic Tracker'!$B$7:$B$53,A16)/60</f>
        <v>2.8333333333333335</v>
      </c>
      <c r="E16" s="5">
        <f>COUNTIFS('Topic Tracker'!$B$7:$B$53,A16)</f>
        <v>3</v>
      </c>
      <c r="F16" s="5">
        <f>COUNTIFS('Topic Tracker'!$B$7:$B$53,A16,'Topic Tracker'!$G$7:$G$53,"Done")</f>
        <v>0</v>
      </c>
      <c r="G16" s="19">
        <f t="shared" si="1"/>
        <v>0</v>
      </c>
      <c r="H16" s="7" t="s">
        <v>26</v>
      </c>
    </row>
    <row r="17" spans="1:8" ht="47" customHeight="1">
      <c r="A17" s="1">
        <v>6</v>
      </c>
      <c r="B17" s="12">
        <f t="shared" si="0"/>
        <v>46309</v>
      </c>
      <c r="C17" s="6" t="s">
        <v>27</v>
      </c>
      <c r="D17" s="16">
        <f>SUMIFS('Topic Tracker'!$F$7:$F$53,'Topic Tracker'!$B$7:$B$53,A17)/60</f>
        <v>2.8333333333333335</v>
      </c>
      <c r="E17" s="1">
        <f>COUNTIFS('Topic Tracker'!$B$7:$B$53,A17)</f>
        <v>2</v>
      </c>
      <c r="F17" s="1">
        <f>COUNTIFS('Topic Tracker'!$B$7:$B$53,A17,'Topic Tracker'!$G$7:$G$53,"Done")</f>
        <v>0</v>
      </c>
      <c r="G17" s="15">
        <f t="shared" si="1"/>
        <v>0</v>
      </c>
      <c r="H17" s="6" t="s">
        <v>28</v>
      </c>
    </row>
    <row r="18" spans="1:8" ht="47" customHeight="1">
      <c r="A18" s="5">
        <v>7</v>
      </c>
      <c r="B18" s="17">
        <f t="shared" si="0"/>
        <v>46310</v>
      </c>
      <c r="C18" s="7" t="s">
        <v>29</v>
      </c>
      <c r="D18" s="18">
        <f>SUMIFS('Topic Tracker'!$F$7:$F$53,'Topic Tracker'!$B$7:$B$53,A18)/60</f>
        <v>2.8333333333333335</v>
      </c>
      <c r="E18" s="5">
        <f>COUNTIFS('Topic Tracker'!$B$7:$B$53,A18)</f>
        <v>2</v>
      </c>
      <c r="F18" s="5">
        <f>COUNTIFS('Topic Tracker'!$B$7:$B$53,A18,'Topic Tracker'!$G$7:$G$53,"Done")</f>
        <v>0</v>
      </c>
      <c r="G18" s="19">
        <f t="shared" si="1"/>
        <v>0</v>
      </c>
      <c r="H18" s="7" t="s">
        <v>30</v>
      </c>
    </row>
    <row r="19" spans="1:8" ht="47" customHeight="1">
      <c r="A19" s="1">
        <v>8</v>
      </c>
      <c r="B19" s="12">
        <f t="shared" si="0"/>
        <v>46311</v>
      </c>
      <c r="C19" s="6" t="s">
        <v>31</v>
      </c>
      <c r="D19" s="16">
        <f>SUMIFS('Topic Tracker'!$F$7:$F$53,'Topic Tracker'!$B$7:$B$53,A19)/60</f>
        <v>2.9166666666666665</v>
      </c>
      <c r="E19" s="1">
        <f>COUNTIFS('Topic Tracker'!$B$7:$B$53,A19)</f>
        <v>2</v>
      </c>
      <c r="F19" s="1">
        <f>COUNTIFS('Topic Tracker'!$B$7:$B$53,A19,'Topic Tracker'!$G$7:$G$53,"Done")</f>
        <v>0</v>
      </c>
      <c r="G19" s="15">
        <f t="shared" si="1"/>
        <v>0</v>
      </c>
      <c r="H19" s="6" t="s">
        <v>32</v>
      </c>
    </row>
    <row r="20" spans="1:8" ht="47" customHeight="1">
      <c r="A20" s="5">
        <v>9</v>
      </c>
      <c r="B20" s="17">
        <f t="shared" si="0"/>
        <v>46312</v>
      </c>
      <c r="C20" s="7" t="s">
        <v>33</v>
      </c>
      <c r="D20" s="18">
        <f>SUMIFS('Topic Tracker'!$F$7:$F$53,'Topic Tracker'!$B$7:$B$53,A20)/60</f>
        <v>2.8333333333333335</v>
      </c>
      <c r="E20" s="5">
        <f>COUNTIFS('Topic Tracker'!$B$7:$B$53,A20)</f>
        <v>2</v>
      </c>
      <c r="F20" s="5">
        <f>COUNTIFS('Topic Tracker'!$B$7:$B$53,A20,'Topic Tracker'!$G$7:$G$53,"Done")</f>
        <v>0</v>
      </c>
      <c r="G20" s="19">
        <f t="shared" si="1"/>
        <v>0</v>
      </c>
      <c r="H20" s="7" t="s">
        <v>34</v>
      </c>
    </row>
    <row r="21" spans="1:8" ht="47" customHeight="1">
      <c r="A21" s="1">
        <v>10</v>
      </c>
      <c r="B21" s="12">
        <f t="shared" si="0"/>
        <v>46313</v>
      </c>
      <c r="C21" s="6" t="s">
        <v>35</v>
      </c>
      <c r="D21" s="16">
        <f>SUMIFS('Topic Tracker'!$F$7:$F$53,'Topic Tracker'!$B$7:$B$53,A21)/60</f>
        <v>2.9166666666666665</v>
      </c>
      <c r="E21" s="1">
        <f>COUNTIFS('Topic Tracker'!$B$7:$B$53,A21)</f>
        <v>2</v>
      </c>
      <c r="F21" s="1">
        <f>COUNTIFS('Topic Tracker'!$B$7:$B$53,A21,'Topic Tracker'!$G$7:$G$53,"Done")</f>
        <v>0</v>
      </c>
      <c r="G21" s="15">
        <f t="shared" si="1"/>
        <v>0</v>
      </c>
      <c r="H21" s="6" t="s">
        <v>36</v>
      </c>
    </row>
    <row r="22" spans="1:8" ht="47" customHeight="1">
      <c r="A22" s="5">
        <v>11</v>
      </c>
      <c r="B22" s="17">
        <f t="shared" si="0"/>
        <v>46314</v>
      </c>
      <c r="C22" s="7" t="s">
        <v>37</v>
      </c>
      <c r="D22" s="18">
        <f>SUMIFS('Topic Tracker'!$F$7:$F$53,'Topic Tracker'!$B$7:$B$53,A22)/60</f>
        <v>2.8333333333333335</v>
      </c>
      <c r="E22" s="5">
        <f>COUNTIFS('Topic Tracker'!$B$7:$B$53,A22)</f>
        <v>2</v>
      </c>
      <c r="F22" s="5">
        <f>COUNTIFS('Topic Tracker'!$B$7:$B$53,A22,'Topic Tracker'!$G$7:$G$53,"Done")</f>
        <v>0</v>
      </c>
      <c r="G22" s="19">
        <f t="shared" si="1"/>
        <v>0</v>
      </c>
      <c r="H22" s="7" t="s">
        <v>38</v>
      </c>
    </row>
    <row r="23" spans="1:8" ht="47" customHeight="1">
      <c r="A23" s="1">
        <v>12</v>
      </c>
      <c r="B23" s="12">
        <f t="shared" si="0"/>
        <v>46315</v>
      </c>
      <c r="C23" s="6" t="s">
        <v>39</v>
      </c>
      <c r="D23" s="16">
        <f>SUMIFS('Topic Tracker'!$F$7:$F$53,'Topic Tracker'!$B$7:$B$53,A23)/60</f>
        <v>2.9166666666666665</v>
      </c>
      <c r="E23" s="1">
        <f>COUNTIFS('Topic Tracker'!$B$7:$B$53,A23)</f>
        <v>3</v>
      </c>
      <c r="F23" s="1">
        <f>COUNTIFS('Topic Tracker'!$B$7:$B$53,A23,'Topic Tracker'!$G$7:$G$53,"Done")</f>
        <v>0</v>
      </c>
      <c r="G23" s="15">
        <f t="shared" si="1"/>
        <v>0</v>
      </c>
      <c r="H23" s="6" t="s">
        <v>40</v>
      </c>
    </row>
    <row r="24" spans="1:8" ht="47" customHeight="1">
      <c r="A24" s="5">
        <v>13</v>
      </c>
      <c r="B24" s="17">
        <f t="shared" si="0"/>
        <v>46316</v>
      </c>
      <c r="C24" s="7" t="s">
        <v>41</v>
      </c>
      <c r="D24" s="18">
        <f>SUMIFS('Topic Tracker'!$F$7:$F$53,'Topic Tracker'!$B$7:$B$53,A24)/60</f>
        <v>2.9166666666666665</v>
      </c>
      <c r="E24" s="5">
        <f>COUNTIFS('Topic Tracker'!$B$7:$B$53,A24)</f>
        <v>2</v>
      </c>
      <c r="F24" s="5">
        <f>COUNTIFS('Topic Tracker'!$B$7:$B$53,A24,'Topic Tracker'!$G$7:$G$53,"Done")</f>
        <v>0</v>
      </c>
      <c r="G24" s="19">
        <f t="shared" si="1"/>
        <v>0</v>
      </c>
      <c r="H24" s="7" t="s">
        <v>42</v>
      </c>
    </row>
    <row r="25" spans="1:8" ht="47" customHeight="1">
      <c r="A25" s="1">
        <v>14</v>
      </c>
      <c r="B25" s="12">
        <f t="shared" si="0"/>
        <v>46317</v>
      </c>
      <c r="C25" s="6" t="s">
        <v>43</v>
      </c>
      <c r="D25" s="16">
        <f>SUMIFS('Topic Tracker'!$F$7:$F$53,'Topic Tracker'!$B$7:$B$53,A25)/60</f>
        <v>2.8333333333333335</v>
      </c>
      <c r="E25" s="1">
        <f>COUNTIFS('Topic Tracker'!$B$7:$B$53,A25)</f>
        <v>2</v>
      </c>
      <c r="F25" s="1">
        <f>COUNTIFS('Topic Tracker'!$B$7:$B$53,A25,'Topic Tracker'!$G$7:$G$53,"Done")</f>
        <v>0</v>
      </c>
      <c r="G25" s="15">
        <f t="shared" si="1"/>
        <v>0</v>
      </c>
      <c r="H25" s="6" t="s">
        <v>44</v>
      </c>
    </row>
    <row r="26" spans="1:8" ht="47" customHeight="1">
      <c r="A26" s="5">
        <v>15</v>
      </c>
      <c r="B26" s="17">
        <f t="shared" si="0"/>
        <v>46318</v>
      </c>
      <c r="C26" s="7" t="s">
        <v>45</v>
      </c>
      <c r="D26" s="18">
        <f>SUMIFS('Topic Tracker'!$F$7:$F$53,'Topic Tracker'!$B$7:$B$53,A26)/60</f>
        <v>3</v>
      </c>
      <c r="E26" s="5">
        <f>COUNTIFS('Topic Tracker'!$B$7:$B$53,A26)</f>
        <v>2</v>
      </c>
      <c r="F26" s="5">
        <f>COUNTIFS('Topic Tracker'!$B$7:$B$53,A26,'Topic Tracker'!$G$7:$G$53,"Done")</f>
        <v>0</v>
      </c>
      <c r="G26" s="19">
        <f t="shared" si="1"/>
        <v>0</v>
      </c>
      <c r="H26" s="7" t="s">
        <v>46</v>
      </c>
    </row>
    <row r="27" spans="1:8" ht="47" customHeight="1">
      <c r="A27" s="1">
        <v>16</v>
      </c>
      <c r="B27" s="12">
        <f t="shared" si="0"/>
        <v>46319</v>
      </c>
      <c r="C27" s="6" t="s">
        <v>47</v>
      </c>
      <c r="D27" s="16">
        <f>SUMIFS('Topic Tracker'!$F$7:$F$53,'Topic Tracker'!$B$7:$B$53,A27)/60</f>
        <v>2.9166666666666665</v>
      </c>
      <c r="E27" s="1">
        <f>COUNTIFS('Topic Tracker'!$B$7:$B$53,A27)</f>
        <v>2</v>
      </c>
      <c r="F27" s="1">
        <f>COUNTIFS('Topic Tracker'!$B$7:$B$53,A27,'Topic Tracker'!$G$7:$G$53,"Done")</f>
        <v>0</v>
      </c>
      <c r="G27" s="15">
        <f t="shared" si="1"/>
        <v>0</v>
      </c>
      <c r="H27" s="6" t="s">
        <v>48</v>
      </c>
    </row>
    <row r="28" spans="1:8" ht="47" customHeight="1">
      <c r="A28" s="5">
        <v>17</v>
      </c>
      <c r="B28" s="17">
        <f t="shared" si="0"/>
        <v>46320</v>
      </c>
      <c r="C28" s="7" t="s">
        <v>49</v>
      </c>
      <c r="D28" s="18">
        <f>SUMIFS('Topic Tracker'!$F$7:$F$53,'Topic Tracker'!$B$7:$B$53,A28)/60</f>
        <v>2.8333333333333335</v>
      </c>
      <c r="E28" s="5">
        <f>COUNTIFS('Topic Tracker'!$B$7:$B$53,A28)</f>
        <v>2</v>
      </c>
      <c r="F28" s="5">
        <f>COUNTIFS('Topic Tracker'!$B$7:$B$53,A28,'Topic Tracker'!$G$7:$G$53,"Done")</f>
        <v>0</v>
      </c>
      <c r="G28" s="19">
        <f t="shared" si="1"/>
        <v>0</v>
      </c>
      <c r="H28" s="7" t="s">
        <v>50</v>
      </c>
    </row>
    <row r="29" spans="1:8" ht="47" customHeight="1">
      <c r="A29" s="1">
        <v>18</v>
      </c>
      <c r="B29" s="12">
        <f t="shared" si="0"/>
        <v>46321</v>
      </c>
      <c r="C29" s="6" t="s">
        <v>51</v>
      </c>
      <c r="D29" s="16">
        <f>SUMIFS('Topic Tracker'!$F$7:$F$53,'Topic Tracker'!$B$7:$B$53,A29)/60</f>
        <v>2.8333333333333335</v>
      </c>
      <c r="E29" s="1">
        <f>COUNTIFS('Topic Tracker'!$B$7:$B$53,A29)</f>
        <v>2</v>
      </c>
      <c r="F29" s="1">
        <f>COUNTIFS('Topic Tracker'!$B$7:$B$53,A29,'Topic Tracker'!$G$7:$G$53,"Done")</f>
        <v>0</v>
      </c>
      <c r="G29" s="15">
        <f t="shared" si="1"/>
        <v>0</v>
      </c>
      <c r="H29" s="6" t="s">
        <v>52</v>
      </c>
    </row>
    <row r="30" spans="1:8" ht="47" customHeight="1">
      <c r="A30" s="5">
        <v>19</v>
      </c>
      <c r="B30" s="17">
        <f t="shared" si="0"/>
        <v>46322</v>
      </c>
      <c r="C30" s="7" t="s">
        <v>53</v>
      </c>
      <c r="D30" s="18">
        <f>SUMIFS('Topic Tracker'!$F$7:$F$53,'Topic Tracker'!$B$7:$B$53,A30)/60</f>
        <v>2.8333333333333335</v>
      </c>
      <c r="E30" s="5">
        <f>COUNTIFS('Topic Tracker'!$B$7:$B$53,A30)</f>
        <v>3</v>
      </c>
      <c r="F30" s="5">
        <f>COUNTIFS('Topic Tracker'!$B$7:$B$53,A30,'Topic Tracker'!$G$7:$G$53,"Done")</f>
        <v>0</v>
      </c>
      <c r="G30" s="19">
        <f t="shared" si="1"/>
        <v>0</v>
      </c>
      <c r="H30" s="7" t="s">
        <v>54</v>
      </c>
    </row>
    <row r="31" spans="1:8" ht="47" customHeight="1">
      <c r="A31" s="1">
        <v>20</v>
      </c>
      <c r="B31" s="12">
        <f t="shared" si="0"/>
        <v>46323</v>
      </c>
      <c r="C31" s="6" t="s">
        <v>55</v>
      </c>
      <c r="D31" s="16">
        <f>SUMIFS('Topic Tracker'!$F$7:$F$53,'Topic Tracker'!$B$7:$B$53,A31)/60</f>
        <v>3</v>
      </c>
      <c r="E31" s="1">
        <f>COUNTIFS('Topic Tracker'!$B$7:$B$53,A31)</f>
        <v>2</v>
      </c>
      <c r="F31" s="1">
        <f>COUNTIFS('Topic Tracker'!$B$7:$B$53,A31,'Topic Tracker'!$G$7:$G$53,"Done")</f>
        <v>0</v>
      </c>
      <c r="G31" s="15">
        <f t="shared" si="1"/>
        <v>0</v>
      </c>
      <c r="H31" s="6" t="s">
        <v>56</v>
      </c>
    </row>
    <row r="32" spans="1:8" ht="47" customHeight="1">
      <c r="A32" s="5">
        <v>21</v>
      </c>
      <c r="B32" s="17">
        <f t="shared" si="0"/>
        <v>46324</v>
      </c>
      <c r="C32" s="7" t="s">
        <v>57</v>
      </c>
      <c r="D32" s="18">
        <f>SUMIFS('Topic Tracker'!$F$7:$F$53,'Topic Tracker'!$B$7:$B$53,A32)/60</f>
        <v>2.75</v>
      </c>
      <c r="E32" s="5">
        <f>COUNTIFS('Topic Tracker'!$B$7:$B$53,A32)</f>
        <v>2</v>
      </c>
      <c r="F32" s="5">
        <f>COUNTIFS('Topic Tracker'!$B$7:$B$53,A32,'Topic Tracker'!$G$7:$G$53,"Done")</f>
        <v>0</v>
      </c>
      <c r="G32" s="19">
        <f t="shared" si="1"/>
        <v>0</v>
      </c>
      <c r="H32" s="7" t="s">
        <v>58</v>
      </c>
    </row>
    <row r="33" spans="1:8" ht="24" customHeight="1">
      <c r="A33" s="1"/>
      <c r="B33" s="1"/>
      <c r="C33" s="1"/>
      <c r="D33" s="1"/>
      <c r="E33" s="1"/>
      <c r="F33" s="1"/>
      <c r="G33" s="1"/>
      <c r="H33" s="1"/>
    </row>
    <row r="34" spans="1:8" ht="24" customHeight="1">
      <c r="A34" s="1"/>
      <c r="B34" s="1"/>
      <c r="C34" s="1"/>
      <c r="D34" s="1"/>
      <c r="E34" s="1"/>
      <c r="F34" s="1"/>
      <c r="G34" s="1"/>
      <c r="H34" s="1"/>
    </row>
    <row r="35" spans="1:8" ht="24" customHeight="1">
      <c r="A35" s="20" t="s">
        <v>59</v>
      </c>
      <c r="B35" s="1"/>
      <c r="C35" s="1"/>
      <c r="D35" s="1"/>
      <c r="E35" s="1"/>
      <c r="F35" s="1"/>
      <c r="G35" s="1"/>
      <c r="H35" s="1"/>
    </row>
    <row r="36" spans="1:8" ht="24" customHeight="1">
      <c r="A36" s="1" t="s">
        <v>60</v>
      </c>
      <c r="B36" s="1"/>
      <c r="C36" s="1"/>
      <c r="D36" s="1"/>
      <c r="E36" s="1"/>
      <c r="F36" s="1"/>
      <c r="G36" s="1"/>
      <c r="H36" s="1"/>
    </row>
    <row r="37" spans="1:8" ht="24" customHeight="1">
      <c r="A37" s="1"/>
      <c r="B37" s="1"/>
      <c r="C37" s="1"/>
      <c r="D37" s="1"/>
      <c r="E37" s="1"/>
      <c r="F37" s="1"/>
      <c r="G37" s="1"/>
      <c r="H37" s="1"/>
    </row>
    <row r="38" spans="1:8" ht="34.049999999999997" customHeight="1">
      <c r="A38" s="4" t="s">
        <v>11</v>
      </c>
      <c r="B38" s="4" t="s">
        <v>12</v>
      </c>
      <c r="C38" s="4" t="s">
        <v>61</v>
      </c>
      <c r="D38" s="4" t="s">
        <v>14</v>
      </c>
      <c r="E38" s="4" t="s">
        <v>5</v>
      </c>
      <c r="F38" s="4" t="s">
        <v>15</v>
      </c>
      <c r="G38" s="4" t="s">
        <v>7</v>
      </c>
      <c r="H38" s="4" t="s">
        <v>62</v>
      </c>
    </row>
    <row r="39" spans="1:8" ht="24" customHeight="1">
      <c r="A39" s="1">
        <v>1</v>
      </c>
      <c r="B39" s="12">
        <f t="shared" ref="B39:B52" si="2">$B$4+A39-1</f>
        <v>46304</v>
      </c>
      <c r="C39" s="1" t="s">
        <v>63</v>
      </c>
      <c r="D39" s="16">
        <f>SUMIFS('Topic Tracker'!$F$7:$F$53,'Topic Tracker'!$C$7:$C$53,A39)/60</f>
        <v>3</v>
      </c>
      <c r="E39" s="1">
        <f>COUNTIFS('Topic Tracker'!$C$7:$C$53,A39)</f>
        <v>3</v>
      </c>
      <c r="F39" s="1">
        <f>COUNTIFS('Topic Tracker'!$C$7:$C$53,A39,'Topic Tracker'!$G$7:$G$53,"Done")</f>
        <v>0</v>
      </c>
      <c r="G39" s="15">
        <f t="shared" ref="G39:G52" si="3">F39/E39</f>
        <v>0</v>
      </c>
      <c r="H39" s="1" t="s">
        <v>64</v>
      </c>
    </row>
    <row r="40" spans="1:8" ht="24" customHeight="1">
      <c r="A40" s="5">
        <v>2</v>
      </c>
      <c r="B40" s="17">
        <f t="shared" si="2"/>
        <v>46305</v>
      </c>
      <c r="C40" s="5" t="s">
        <v>65</v>
      </c>
      <c r="D40" s="18">
        <f>SUMIFS('Topic Tracker'!$F$7:$F$53,'Topic Tracker'!$C$7:$C$53,A40)/60</f>
        <v>5.583333333333333</v>
      </c>
      <c r="E40" s="5">
        <f>COUNTIFS('Topic Tracker'!$C$7:$C$53,A40)</f>
        <v>5</v>
      </c>
      <c r="F40" s="5">
        <f>COUNTIFS('Topic Tracker'!$C$7:$C$53,A40,'Topic Tracker'!$G$7:$G$53,"Done")</f>
        <v>0</v>
      </c>
      <c r="G40" s="19">
        <f t="shared" si="3"/>
        <v>0</v>
      </c>
      <c r="H40" s="5" t="s">
        <v>66</v>
      </c>
    </row>
    <row r="41" spans="1:8" ht="24" customHeight="1">
      <c r="A41" s="1">
        <v>3</v>
      </c>
      <c r="B41" s="12">
        <f t="shared" si="2"/>
        <v>46306</v>
      </c>
      <c r="C41" s="1" t="s">
        <v>67</v>
      </c>
      <c r="D41" s="16">
        <f>SUMIFS('Topic Tracker'!$F$7:$F$53,'Topic Tracker'!$C$7:$C$53,A41)/60</f>
        <v>2.75</v>
      </c>
      <c r="E41" s="1">
        <f>COUNTIFS('Topic Tracker'!$C$7:$C$53,A41)</f>
        <v>2</v>
      </c>
      <c r="F41" s="1">
        <f>COUNTIFS('Topic Tracker'!$C$7:$C$53,A41,'Topic Tracker'!$G$7:$G$53,"Done")</f>
        <v>0</v>
      </c>
      <c r="G41" s="15">
        <f t="shared" si="3"/>
        <v>0</v>
      </c>
      <c r="H41" s="1" t="s">
        <v>64</v>
      </c>
    </row>
    <row r="42" spans="1:8" ht="24" customHeight="1">
      <c r="A42" s="5">
        <v>4</v>
      </c>
      <c r="B42" s="17">
        <f t="shared" si="2"/>
        <v>46307</v>
      </c>
      <c r="C42" s="5" t="s">
        <v>68</v>
      </c>
      <c r="D42" s="18">
        <f>SUMIFS('Topic Tracker'!$F$7:$F$53,'Topic Tracker'!$C$7:$C$53,A42)/60</f>
        <v>5.666666666666667</v>
      </c>
      <c r="E42" s="5">
        <f>COUNTIFS('Topic Tracker'!$C$7:$C$53,A42)</f>
        <v>5</v>
      </c>
      <c r="F42" s="5">
        <f>COUNTIFS('Topic Tracker'!$C$7:$C$53,A42,'Topic Tracker'!$G$7:$G$53,"Done")</f>
        <v>0</v>
      </c>
      <c r="G42" s="19">
        <f t="shared" si="3"/>
        <v>0</v>
      </c>
      <c r="H42" s="5" t="s">
        <v>66</v>
      </c>
    </row>
    <row r="43" spans="1:8" ht="24" customHeight="1">
      <c r="A43" s="1">
        <v>5</v>
      </c>
      <c r="B43" s="12">
        <f t="shared" si="2"/>
        <v>46308</v>
      </c>
      <c r="C43" s="1" t="s">
        <v>69</v>
      </c>
      <c r="D43" s="16">
        <f>SUMIFS('Topic Tracker'!$F$7:$F$53,'Topic Tracker'!$C$7:$C$53,A43)/60</f>
        <v>2.8333333333333335</v>
      </c>
      <c r="E43" s="1">
        <f>COUNTIFS('Topic Tracker'!$C$7:$C$53,A43)</f>
        <v>2</v>
      </c>
      <c r="F43" s="1">
        <f>COUNTIFS('Topic Tracker'!$C$7:$C$53,A43,'Topic Tracker'!$G$7:$G$53,"Done")</f>
        <v>0</v>
      </c>
      <c r="G43" s="15">
        <f t="shared" si="3"/>
        <v>0</v>
      </c>
      <c r="H43" s="1" t="s">
        <v>64</v>
      </c>
    </row>
    <row r="44" spans="1:8" ht="24" customHeight="1">
      <c r="A44" s="5">
        <v>6</v>
      </c>
      <c r="B44" s="17">
        <f t="shared" si="2"/>
        <v>46309</v>
      </c>
      <c r="C44" s="5" t="s">
        <v>70</v>
      </c>
      <c r="D44" s="18">
        <f>SUMIFS('Topic Tracker'!$F$7:$F$53,'Topic Tracker'!$C$7:$C$53,A44)/60</f>
        <v>2.9166666666666665</v>
      </c>
      <c r="E44" s="5">
        <f>COUNTIFS('Topic Tracker'!$C$7:$C$53,A44)</f>
        <v>2</v>
      </c>
      <c r="F44" s="5">
        <f>COUNTIFS('Topic Tracker'!$C$7:$C$53,A44,'Topic Tracker'!$G$7:$G$53,"Done")</f>
        <v>0</v>
      </c>
      <c r="G44" s="19">
        <f t="shared" si="3"/>
        <v>0</v>
      </c>
      <c r="H44" s="5" t="s">
        <v>64</v>
      </c>
    </row>
    <row r="45" spans="1:8" ht="24" customHeight="1">
      <c r="A45" s="1">
        <v>7</v>
      </c>
      <c r="B45" s="12">
        <f t="shared" si="2"/>
        <v>46310</v>
      </c>
      <c r="C45" s="1" t="s">
        <v>71</v>
      </c>
      <c r="D45" s="16">
        <f>SUMIFS('Topic Tracker'!$F$7:$F$53,'Topic Tracker'!$C$7:$C$53,A45)/60</f>
        <v>2.8333333333333335</v>
      </c>
      <c r="E45" s="1">
        <f>COUNTIFS('Topic Tracker'!$C$7:$C$53,A45)</f>
        <v>2</v>
      </c>
      <c r="F45" s="1">
        <f>COUNTIFS('Topic Tracker'!$C$7:$C$53,A45,'Topic Tracker'!$G$7:$G$53,"Done")</f>
        <v>0</v>
      </c>
      <c r="G45" s="15">
        <f t="shared" si="3"/>
        <v>0</v>
      </c>
      <c r="H45" s="1" t="s">
        <v>64</v>
      </c>
    </row>
    <row r="46" spans="1:8" ht="24" customHeight="1">
      <c r="A46" s="5">
        <v>8</v>
      </c>
      <c r="B46" s="17">
        <f t="shared" si="2"/>
        <v>46311</v>
      </c>
      <c r="C46" s="5" t="s">
        <v>72</v>
      </c>
      <c r="D46" s="18">
        <f>SUMIFS('Topic Tracker'!$F$7:$F$53,'Topic Tracker'!$C$7:$C$53,A46)/60</f>
        <v>2.9166666666666665</v>
      </c>
      <c r="E46" s="5">
        <f>COUNTIFS('Topic Tracker'!$C$7:$C$53,A46)</f>
        <v>2</v>
      </c>
      <c r="F46" s="5">
        <f>COUNTIFS('Topic Tracker'!$C$7:$C$53,A46,'Topic Tracker'!$G$7:$G$53,"Done")</f>
        <v>0</v>
      </c>
      <c r="G46" s="19">
        <f t="shared" si="3"/>
        <v>0</v>
      </c>
      <c r="H46" s="5" t="s">
        <v>64</v>
      </c>
    </row>
    <row r="47" spans="1:8" ht="24" customHeight="1">
      <c r="A47" s="1">
        <v>9</v>
      </c>
      <c r="B47" s="12">
        <f t="shared" si="2"/>
        <v>46312</v>
      </c>
      <c r="C47" s="1" t="s">
        <v>73</v>
      </c>
      <c r="D47" s="16">
        <f>SUMIFS('Topic Tracker'!$F$7:$F$53,'Topic Tracker'!$C$7:$C$53,A47)/60</f>
        <v>2.8333333333333335</v>
      </c>
      <c r="E47" s="1">
        <f>COUNTIFS('Topic Tracker'!$C$7:$C$53,A47)</f>
        <v>2</v>
      </c>
      <c r="F47" s="1">
        <f>COUNTIFS('Topic Tracker'!$C$7:$C$53,A47,'Topic Tracker'!$G$7:$G$53,"Done")</f>
        <v>0</v>
      </c>
      <c r="G47" s="15">
        <f t="shared" si="3"/>
        <v>0</v>
      </c>
      <c r="H47" s="1" t="s">
        <v>64</v>
      </c>
    </row>
    <row r="48" spans="1:8" ht="24" customHeight="1">
      <c r="A48" s="5">
        <v>10</v>
      </c>
      <c r="B48" s="17">
        <f t="shared" si="2"/>
        <v>46313</v>
      </c>
      <c r="C48" s="5" t="s">
        <v>74</v>
      </c>
      <c r="D48" s="18">
        <f>SUMIFS('Topic Tracker'!$F$7:$F$53,'Topic Tracker'!$C$7:$C$53,A48)/60</f>
        <v>5.833333333333333</v>
      </c>
      <c r="E48" s="5">
        <f>COUNTIFS('Topic Tracker'!$C$7:$C$53,A48)</f>
        <v>5</v>
      </c>
      <c r="F48" s="5">
        <f>COUNTIFS('Topic Tracker'!$C$7:$C$53,A48,'Topic Tracker'!$G$7:$G$53,"Done")</f>
        <v>0</v>
      </c>
      <c r="G48" s="19">
        <f t="shared" si="3"/>
        <v>0</v>
      </c>
      <c r="H48" s="5" t="s">
        <v>66</v>
      </c>
    </row>
    <row r="49" spans="1:8" ht="24" customHeight="1">
      <c r="A49" s="1">
        <v>11</v>
      </c>
      <c r="B49" s="12">
        <f t="shared" si="2"/>
        <v>46314</v>
      </c>
      <c r="C49" s="1" t="s">
        <v>75</v>
      </c>
      <c r="D49" s="16">
        <f>SUMIFS('Topic Tracker'!$F$7:$F$53,'Topic Tracker'!$C$7:$C$53,A49)/60</f>
        <v>5.833333333333333</v>
      </c>
      <c r="E49" s="1">
        <f>COUNTIFS('Topic Tracker'!$C$7:$C$53,A49)</f>
        <v>4</v>
      </c>
      <c r="F49" s="1">
        <f>COUNTIFS('Topic Tracker'!$C$7:$C$53,A49,'Topic Tracker'!$G$7:$G$53,"Done")</f>
        <v>0</v>
      </c>
      <c r="G49" s="15">
        <f t="shared" si="3"/>
        <v>0</v>
      </c>
      <c r="H49" s="1" t="s">
        <v>66</v>
      </c>
    </row>
    <row r="50" spans="1:8" ht="24" customHeight="1">
      <c r="A50" s="5">
        <v>12</v>
      </c>
      <c r="B50" s="17">
        <f t="shared" si="2"/>
        <v>46315</v>
      </c>
      <c r="C50" s="5" t="s">
        <v>76</v>
      </c>
      <c r="D50" s="18">
        <f>SUMIFS('Topic Tracker'!$F$7:$F$53,'Topic Tracker'!$C$7:$C$53,A50)/60</f>
        <v>5.75</v>
      </c>
      <c r="E50" s="5">
        <f>COUNTIFS('Topic Tracker'!$C$7:$C$53,A50)</f>
        <v>4</v>
      </c>
      <c r="F50" s="5">
        <f>COUNTIFS('Topic Tracker'!$C$7:$C$53,A50,'Topic Tracker'!$G$7:$G$53,"Done")</f>
        <v>0</v>
      </c>
      <c r="G50" s="19">
        <f t="shared" si="3"/>
        <v>0</v>
      </c>
      <c r="H50" s="5" t="s">
        <v>66</v>
      </c>
    </row>
    <row r="51" spans="1:8" ht="24" customHeight="1">
      <c r="A51" s="1">
        <v>13</v>
      </c>
      <c r="B51" s="12">
        <f t="shared" si="2"/>
        <v>46316</v>
      </c>
      <c r="C51" s="1" t="s">
        <v>77</v>
      </c>
      <c r="D51" s="16">
        <f>SUMIFS('Topic Tracker'!$F$7:$F$53,'Topic Tracker'!$C$7:$C$53,A51)/60</f>
        <v>5.666666666666667</v>
      </c>
      <c r="E51" s="1">
        <f>COUNTIFS('Topic Tracker'!$C$7:$C$53,A51)</f>
        <v>5</v>
      </c>
      <c r="F51" s="1">
        <f>COUNTIFS('Topic Tracker'!$C$7:$C$53,A51,'Topic Tracker'!$G$7:$G$53,"Done")</f>
        <v>0</v>
      </c>
      <c r="G51" s="15">
        <f t="shared" si="3"/>
        <v>0</v>
      </c>
      <c r="H51" s="1" t="s">
        <v>66</v>
      </c>
    </row>
    <row r="52" spans="1:8" ht="24" customHeight="1">
      <c r="A52" s="5">
        <v>14</v>
      </c>
      <c r="B52" s="17">
        <f t="shared" si="2"/>
        <v>46317</v>
      </c>
      <c r="C52" s="5" t="s">
        <v>78</v>
      </c>
      <c r="D52" s="18">
        <f>SUMIFS('Topic Tracker'!$F$7:$F$53,'Topic Tracker'!$C$7:$C$53,A52)/60</f>
        <v>5.75</v>
      </c>
      <c r="E52" s="5">
        <f>COUNTIFS('Topic Tracker'!$C$7:$C$53,A52)</f>
        <v>4</v>
      </c>
      <c r="F52" s="5">
        <f>COUNTIFS('Topic Tracker'!$C$7:$C$53,A52,'Topic Tracker'!$G$7:$G$53,"Done")</f>
        <v>0</v>
      </c>
      <c r="G52" s="19">
        <f t="shared" si="3"/>
        <v>0</v>
      </c>
      <c r="H52" s="5" t="s">
        <v>66</v>
      </c>
    </row>
    <row r="53" spans="1:8" ht="24" customHeight="1">
      <c r="A53" s="1"/>
      <c r="B53" s="1"/>
      <c r="C53" s="1"/>
      <c r="D53" s="1"/>
      <c r="E53" s="1"/>
      <c r="F53" s="1"/>
      <c r="G53" s="1"/>
      <c r="H53" s="1"/>
    </row>
    <row r="54" spans="1:8" ht="24" customHeight="1">
      <c r="A54" s="1"/>
      <c r="B54" s="1"/>
      <c r="C54" s="1"/>
      <c r="D54" s="1"/>
      <c r="E54" s="1"/>
      <c r="F54" s="1"/>
      <c r="G54" s="1"/>
      <c r="H54" s="1"/>
    </row>
    <row r="55" spans="1:8" ht="24" customHeight="1">
      <c r="A55" s="1" t="s">
        <v>79</v>
      </c>
      <c r="B55" s="1"/>
      <c r="C55" s="1" t="s">
        <v>80</v>
      </c>
      <c r="D55" s="1"/>
      <c r="E55" s="1"/>
      <c r="F55" s="1"/>
      <c r="G55" s="1"/>
      <c r="H55" s="1"/>
    </row>
    <row r="56" spans="1:8" ht="24" customHeight="1">
      <c r="A56" s="1"/>
      <c r="B56" s="1"/>
      <c r="C56" s="1"/>
      <c r="D56" s="1"/>
      <c r="E56" s="1"/>
      <c r="F56" s="1"/>
      <c r="G56" s="1"/>
      <c r="H56" s="1"/>
    </row>
    <row r="57" spans="1:8" ht="24" customHeight="1">
      <c r="A57" s="1" t="s">
        <v>81</v>
      </c>
      <c r="B57" s="1"/>
      <c r="C57" s="1" t="s">
        <v>82</v>
      </c>
      <c r="D57" s="1"/>
      <c r="E57" s="1"/>
      <c r="F57" s="1"/>
      <c r="G57" s="1"/>
      <c r="H57" s="1"/>
    </row>
    <row r="58" spans="1:8" ht="24" customHeight="1">
      <c r="A58" s="1"/>
      <c r="B58" s="1"/>
      <c r="C58" s="1"/>
      <c r="D58" s="1"/>
      <c r="E58" s="1"/>
      <c r="F58" s="1"/>
      <c r="G58" s="1"/>
      <c r="H58" s="1"/>
    </row>
    <row r="59" spans="1:8" ht="24" customHeight="1">
      <c r="A59" s="1" t="s">
        <v>83</v>
      </c>
      <c r="B59" s="1"/>
      <c r="C59" s="1" t="s">
        <v>84</v>
      </c>
      <c r="D59" s="1"/>
      <c r="E59" s="1"/>
      <c r="F59" s="1"/>
      <c r="G59" s="1"/>
      <c r="H59" s="1"/>
    </row>
    <row r="60" spans="1:8" ht="24" customHeight="1">
      <c r="A60" s="1"/>
      <c r="B60" s="1"/>
      <c r="C60" s="1"/>
      <c r="D60" s="1"/>
      <c r="E60" s="1"/>
      <c r="F60" s="1"/>
      <c r="G60" s="1"/>
      <c r="H60" s="1"/>
    </row>
    <row r="61" spans="1:8" ht="24" customHeight="1">
      <c r="A61" s="1"/>
      <c r="B61" s="1"/>
      <c r="C61" s="1"/>
      <c r="D61" s="1"/>
      <c r="E61" s="1"/>
      <c r="F61" s="1"/>
      <c r="G61" s="1"/>
      <c r="H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H7" sqref="H7"/>
    </sheetView>
  </sheetViews>
  <sheetFormatPr defaultRowHeight="13.5"/>
  <cols>
    <col min="1" max="1" width="8" customWidth="1"/>
    <col min="2" max="3" width="9" customWidth="1"/>
    <col min="4" max="4" width="10" customWidth="1"/>
    <col min="5" max="5" width="43" customWidth="1"/>
    <col min="6" max="6" width="11" customWidth="1"/>
    <col min="7" max="7" width="18" customWidth="1"/>
    <col min="8" max="9" width="14" customWidth="1"/>
    <col min="10" max="10" width="12" customWidth="1"/>
    <col min="11" max="11" width="24" customWidth="1"/>
    <col min="12" max="12" width="78" customWidth="1"/>
    <col min="13" max="13" width="62" customWidth="1"/>
    <col min="14" max="14" width="40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4" customHeight="1">
      <c r="A2" s="2" t="s">
        <v>85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4" customHeight="1">
      <c r="A4" s="1" t="s">
        <v>86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4" customHeight="1">
      <c r="A5" s="1" t="s">
        <v>87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4.049999999999997" customHeight="1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97</v>
      </c>
      <c r="K6" s="4" t="s">
        <v>98</v>
      </c>
      <c r="L6" s="4" t="s">
        <v>99</v>
      </c>
      <c r="M6" s="4" t="s">
        <v>100</v>
      </c>
      <c r="N6" s="4" t="s">
        <v>101</v>
      </c>
    </row>
    <row r="7" spans="1:14" ht="76.05" customHeight="1">
      <c r="A7" s="1" t="s">
        <v>102</v>
      </c>
      <c r="B7" s="1">
        <v>1</v>
      </c>
      <c r="C7" s="1">
        <v>1</v>
      </c>
      <c r="D7" s="1" t="s">
        <v>103</v>
      </c>
      <c r="E7" s="6" t="s">
        <v>104</v>
      </c>
      <c r="F7" s="6">
        <v>75</v>
      </c>
      <c r="G7" s="8" t="s">
        <v>105</v>
      </c>
      <c r="H7" s="9"/>
      <c r="I7" s="10" t="str">
        <f>IF(H7="","",H7+'Revision Plan'!$G$4)</f>
        <v/>
      </c>
      <c r="J7" s="8"/>
      <c r="K7" s="6" t="s">
        <v>106</v>
      </c>
      <c r="L7" s="6" t="s">
        <v>107</v>
      </c>
      <c r="M7" s="6" t="s">
        <v>108</v>
      </c>
      <c r="N7" s="8"/>
    </row>
    <row r="8" spans="1:14" ht="76.05" customHeight="1">
      <c r="A8" s="5" t="s">
        <v>109</v>
      </c>
      <c r="B8" s="5">
        <v>1</v>
      </c>
      <c r="C8" s="5">
        <v>1</v>
      </c>
      <c r="D8" s="5" t="s">
        <v>103</v>
      </c>
      <c r="E8" s="7" t="s">
        <v>110</v>
      </c>
      <c r="F8" s="7">
        <v>75</v>
      </c>
      <c r="G8" s="8" t="s">
        <v>105</v>
      </c>
      <c r="H8" s="9"/>
      <c r="I8" s="11" t="str">
        <f>IF(H8="","",H8+'Revision Plan'!$G$4)</f>
        <v/>
      </c>
      <c r="J8" s="8"/>
      <c r="K8" s="7" t="s">
        <v>106</v>
      </c>
      <c r="L8" s="7" t="s">
        <v>111</v>
      </c>
      <c r="M8" s="7" t="s">
        <v>108</v>
      </c>
      <c r="N8" s="8"/>
    </row>
    <row r="9" spans="1:14" ht="76.05" customHeight="1">
      <c r="A9" s="1" t="s">
        <v>112</v>
      </c>
      <c r="B9" s="1">
        <v>1</v>
      </c>
      <c r="C9" s="1">
        <v>1</v>
      </c>
      <c r="D9" s="1" t="s">
        <v>113</v>
      </c>
      <c r="E9" s="6" t="s">
        <v>114</v>
      </c>
      <c r="F9" s="6">
        <v>30</v>
      </c>
      <c r="G9" s="8" t="s">
        <v>105</v>
      </c>
      <c r="H9" s="9"/>
      <c r="I9" s="10" t="str">
        <f>IF(H9="","",H9+'Revision Plan'!$G$4)</f>
        <v/>
      </c>
      <c r="J9" s="8"/>
      <c r="K9" s="6" t="s">
        <v>115</v>
      </c>
      <c r="L9" s="6" t="s">
        <v>116</v>
      </c>
      <c r="M9" s="6" t="s">
        <v>117</v>
      </c>
      <c r="N9" s="8"/>
    </row>
    <row r="10" spans="1:14" ht="76.05" customHeight="1">
      <c r="A10" s="5" t="s">
        <v>118</v>
      </c>
      <c r="B10" s="5">
        <v>2</v>
      </c>
      <c r="C10" s="5">
        <v>2</v>
      </c>
      <c r="D10" s="5" t="s">
        <v>103</v>
      </c>
      <c r="E10" s="7" t="s">
        <v>119</v>
      </c>
      <c r="F10" s="7">
        <v>80</v>
      </c>
      <c r="G10" s="8" t="s">
        <v>105</v>
      </c>
      <c r="H10" s="9"/>
      <c r="I10" s="11" t="str">
        <f>IF(H10="","",H10+'Revision Plan'!$G$4)</f>
        <v/>
      </c>
      <c r="J10" s="8"/>
      <c r="K10" s="7" t="s">
        <v>115</v>
      </c>
      <c r="L10" s="7" t="s">
        <v>120</v>
      </c>
      <c r="M10" s="7" t="s">
        <v>121</v>
      </c>
      <c r="N10" s="8"/>
    </row>
    <row r="11" spans="1:14" ht="76.05" customHeight="1">
      <c r="A11" s="1" t="s">
        <v>122</v>
      </c>
      <c r="B11" s="1">
        <v>2</v>
      </c>
      <c r="C11" s="1">
        <v>2</v>
      </c>
      <c r="D11" s="1" t="s">
        <v>103</v>
      </c>
      <c r="E11" s="6" t="s">
        <v>123</v>
      </c>
      <c r="F11" s="6">
        <v>80</v>
      </c>
      <c r="G11" s="8" t="s">
        <v>105</v>
      </c>
      <c r="H11" s="9"/>
      <c r="I11" s="10" t="str">
        <f>IF(H11="","",H11+'Revision Plan'!$G$4)</f>
        <v/>
      </c>
      <c r="J11" s="8"/>
      <c r="K11" s="6" t="s">
        <v>115</v>
      </c>
      <c r="L11" s="6" t="s">
        <v>124</v>
      </c>
      <c r="M11" s="6" t="s">
        <v>125</v>
      </c>
      <c r="N11" s="8"/>
    </row>
    <row r="12" spans="1:14" ht="76.05" customHeight="1">
      <c r="A12" s="5" t="s">
        <v>126</v>
      </c>
      <c r="B12" s="5">
        <v>3</v>
      </c>
      <c r="C12" s="5">
        <v>2</v>
      </c>
      <c r="D12" s="5" t="s">
        <v>103</v>
      </c>
      <c r="E12" s="7" t="s">
        <v>127</v>
      </c>
      <c r="F12" s="7">
        <v>45</v>
      </c>
      <c r="G12" s="8" t="s">
        <v>105</v>
      </c>
      <c r="H12" s="9"/>
      <c r="I12" s="11" t="str">
        <f>IF(H12="","",H12+'Revision Plan'!$G$4)</f>
        <v/>
      </c>
      <c r="J12" s="8"/>
      <c r="K12" s="7" t="s">
        <v>115</v>
      </c>
      <c r="L12" s="7" t="s">
        <v>128</v>
      </c>
      <c r="M12" s="7" t="s">
        <v>129</v>
      </c>
      <c r="N12" s="8"/>
    </row>
    <row r="13" spans="1:14" ht="76.05" customHeight="1">
      <c r="A13" s="1" t="s">
        <v>130</v>
      </c>
      <c r="B13" s="1">
        <v>3</v>
      </c>
      <c r="C13" s="1">
        <v>2</v>
      </c>
      <c r="D13" s="1" t="s">
        <v>131</v>
      </c>
      <c r="E13" s="6" t="s">
        <v>132</v>
      </c>
      <c r="F13" s="6">
        <v>30</v>
      </c>
      <c r="G13" s="8" t="s">
        <v>105</v>
      </c>
      <c r="H13" s="9"/>
      <c r="I13" s="10" t="str">
        <f>IF(H13="","",H13+'Revision Plan'!$G$4)</f>
        <v/>
      </c>
      <c r="J13" s="8"/>
      <c r="K13" s="6" t="s">
        <v>115</v>
      </c>
      <c r="L13" s="6" t="s">
        <v>133</v>
      </c>
      <c r="M13" s="6" t="s">
        <v>134</v>
      </c>
      <c r="N13" s="8"/>
    </row>
    <row r="14" spans="1:14" ht="76.05" customHeight="1">
      <c r="A14" s="5" t="s">
        <v>135</v>
      </c>
      <c r="B14" s="5">
        <v>3</v>
      </c>
      <c r="C14" s="5">
        <v>2</v>
      </c>
      <c r="D14" s="5" t="s">
        <v>103</v>
      </c>
      <c r="E14" s="7" t="s">
        <v>136</v>
      </c>
      <c r="F14" s="7">
        <v>100</v>
      </c>
      <c r="G14" s="8" t="s">
        <v>105</v>
      </c>
      <c r="H14" s="9"/>
      <c r="I14" s="11" t="str">
        <f>IF(H14="","",H14+'Revision Plan'!$G$4)</f>
        <v/>
      </c>
      <c r="J14" s="8"/>
      <c r="K14" s="7" t="s">
        <v>115</v>
      </c>
      <c r="L14" s="7" t="s">
        <v>137</v>
      </c>
      <c r="M14" s="7" t="s">
        <v>138</v>
      </c>
      <c r="N14" s="8"/>
    </row>
    <row r="15" spans="1:14" ht="76.05" customHeight="1">
      <c r="A15" s="1" t="s">
        <v>139</v>
      </c>
      <c r="B15" s="1">
        <v>4</v>
      </c>
      <c r="C15" s="1">
        <v>3</v>
      </c>
      <c r="D15" s="1" t="s">
        <v>131</v>
      </c>
      <c r="E15" s="6" t="s">
        <v>140</v>
      </c>
      <c r="F15" s="6">
        <v>40</v>
      </c>
      <c r="G15" s="8" t="s">
        <v>105</v>
      </c>
      <c r="H15" s="9"/>
      <c r="I15" s="10" t="str">
        <f>IF(H15="","",H15+'Revision Plan'!$G$4)</f>
        <v/>
      </c>
      <c r="J15" s="8"/>
      <c r="K15" s="6" t="s">
        <v>115</v>
      </c>
      <c r="L15" s="6" t="s">
        <v>141</v>
      </c>
      <c r="M15" s="6" t="s">
        <v>142</v>
      </c>
      <c r="N15" s="8"/>
    </row>
    <row r="16" spans="1:14" ht="76.05" customHeight="1">
      <c r="A16" s="5" t="s">
        <v>143</v>
      </c>
      <c r="B16" s="5">
        <v>4</v>
      </c>
      <c r="C16" s="5">
        <v>3</v>
      </c>
      <c r="D16" s="5" t="s">
        <v>103</v>
      </c>
      <c r="E16" s="7" t="s">
        <v>144</v>
      </c>
      <c r="F16" s="7">
        <v>125</v>
      </c>
      <c r="G16" s="8" t="s">
        <v>105</v>
      </c>
      <c r="H16" s="9"/>
      <c r="I16" s="11" t="str">
        <f>IF(H16="","",H16+'Revision Plan'!$G$4)</f>
        <v/>
      </c>
      <c r="J16" s="8"/>
      <c r="K16" s="7" t="s">
        <v>115</v>
      </c>
      <c r="L16" s="7" t="s">
        <v>145</v>
      </c>
      <c r="M16" s="7" t="s">
        <v>146</v>
      </c>
      <c r="N16" s="8"/>
    </row>
    <row r="17" spans="1:14" ht="76.05" customHeight="1">
      <c r="A17" s="1" t="s">
        <v>147</v>
      </c>
      <c r="B17" s="1">
        <v>5</v>
      </c>
      <c r="C17" s="1">
        <v>4</v>
      </c>
      <c r="D17" s="1" t="s">
        <v>103</v>
      </c>
      <c r="E17" s="6" t="s">
        <v>148</v>
      </c>
      <c r="F17" s="6">
        <v>100</v>
      </c>
      <c r="G17" s="8" t="s">
        <v>105</v>
      </c>
      <c r="H17" s="9"/>
      <c r="I17" s="10" t="str">
        <f>IF(H17="","",H17+'Revision Plan'!$G$4)</f>
        <v/>
      </c>
      <c r="J17" s="8"/>
      <c r="K17" s="6" t="s">
        <v>115</v>
      </c>
      <c r="L17" s="6" t="s">
        <v>149</v>
      </c>
      <c r="M17" s="6" t="s">
        <v>150</v>
      </c>
      <c r="N17" s="8"/>
    </row>
    <row r="18" spans="1:14" ht="76.05" customHeight="1">
      <c r="A18" s="5" t="s">
        <v>151</v>
      </c>
      <c r="B18" s="5">
        <v>5</v>
      </c>
      <c r="C18" s="5">
        <v>4</v>
      </c>
      <c r="D18" s="5" t="s">
        <v>131</v>
      </c>
      <c r="E18" s="7" t="s">
        <v>152</v>
      </c>
      <c r="F18" s="7">
        <v>45</v>
      </c>
      <c r="G18" s="8" t="s">
        <v>105</v>
      </c>
      <c r="H18" s="9"/>
      <c r="I18" s="11" t="str">
        <f>IF(H18="","",H18+'Revision Plan'!$G$4)</f>
        <v/>
      </c>
      <c r="J18" s="8"/>
      <c r="K18" s="7" t="s">
        <v>115</v>
      </c>
      <c r="L18" s="7" t="s">
        <v>153</v>
      </c>
      <c r="M18" s="7" t="s">
        <v>154</v>
      </c>
      <c r="N18" s="8"/>
    </row>
    <row r="19" spans="1:14" ht="76.05" customHeight="1">
      <c r="A19" s="1" t="s">
        <v>155</v>
      </c>
      <c r="B19" s="1">
        <v>5</v>
      </c>
      <c r="C19" s="1">
        <v>4</v>
      </c>
      <c r="D19" s="1" t="s">
        <v>103</v>
      </c>
      <c r="E19" s="6" t="s">
        <v>156</v>
      </c>
      <c r="F19" s="6">
        <v>25</v>
      </c>
      <c r="G19" s="8" t="s">
        <v>105</v>
      </c>
      <c r="H19" s="9"/>
      <c r="I19" s="10" t="str">
        <f>IF(H19="","",H19+'Revision Plan'!$G$4)</f>
        <v/>
      </c>
      <c r="J19" s="8"/>
      <c r="K19" s="6" t="s">
        <v>157</v>
      </c>
      <c r="L19" s="6" t="s">
        <v>158</v>
      </c>
      <c r="M19" s="6" t="s">
        <v>108</v>
      </c>
      <c r="N19" s="8"/>
    </row>
    <row r="20" spans="1:14" ht="76.05" customHeight="1">
      <c r="A20" s="5" t="s">
        <v>159</v>
      </c>
      <c r="B20" s="5">
        <v>6</v>
      </c>
      <c r="C20" s="5">
        <v>4</v>
      </c>
      <c r="D20" s="5" t="s">
        <v>103</v>
      </c>
      <c r="E20" s="7" t="s">
        <v>160</v>
      </c>
      <c r="F20" s="7">
        <v>45</v>
      </c>
      <c r="G20" s="8" t="s">
        <v>105</v>
      </c>
      <c r="H20" s="9"/>
      <c r="I20" s="11" t="str">
        <f>IF(H20="","",H20+'Revision Plan'!$G$4)</f>
        <v/>
      </c>
      <c r="J20" s="8"/>
      <c r="K20" s="7" t="s">
        <v>115</v>
      </c>
      <c r="L20" s="7" t="s">
        <v>161</v>
      </c>
      <c r="M20" s="7" t="s">
        <v>162</v>
      </c>
      <c r="N20" s="8"/>
    </row>
    <row r="21" spans="1:14" ht="76.05" customHeight="1">
      <c r="A21" s="1" t="s">
        <v>163</v>
      </c>
      <c r="B21" s="1">
        <v>6</v>
      </c>
      <c r="C21" s="1">
        <v>4</v>
      </c>
      <c r="D21" s="1" t="s">
        <v>103</v>
      </c>
      <c r="E21" s="6" t="s">
        <v>164</v>
      </c>
      <c r="F21" s="6">
        <v>125</v>
      </c>
      <c r="G21" s="8" t="s">
        <v>105</v>
      </c>
      <c r="H21" s="9"/>
      <c r="I21" s="10" t="str">
        <f>IF(H21="","",H21+'Revision Plan'!$G$4)</f>
        <v/>
      </c>
      <c r="J21" s="8"/>
      <c r="K21" s="6" t="s">
        <v>115</v>
      </c>
      <c r="L21" s="6" t="s">
        <v>165</v>
      </c>
      <c r="M21" s="6" t="s">
        <v>166</v>
      </c>
      <c r="N21" s="8"/>
    </row>
    <row r="22" spans="1:14" ht="76.05" customHeight="1">
      <c r="A22" s="5" t="s">
        <v>167</v>
      </c>
      <c r="B22" s="5">
        <v>7</v>
      </c>
      <c r="C22" s="5">
        <v>5</v>
      </c>
      <c r="D22" s="5" t="s">
        <v>131</v>
      </c>
      <c r="E22" s="7" t="s">
        <v>168</v>
      </c>
      <c r="F22" s="7">
        <v>65</v>
      </c>
      <c r="G22" s="8" t="s">
        <v>105</v>
      </c>
      <c r="H22" s="9"/>
      <c r="I22" s="11" t="str">
        <f>IF(H22="","",H22+'Revision Plan'!$G$4)</f>
        <v/>
      </c>
      <c r="J22" s="8"/>
      <c r="K22" s="7" t="s">
        <v>115</v>
      </c>
      <c r="L22" s="7" t="s">
        <v>169</v>
      </c>
      <c r="M22" s="7" t="s">
        <v>170</v>
      </c>
      <c r="N22" s="8"/>
    </row>
    <row r="23" spans="1:14" ht="76.05" customHeight="1">
      <c r="A23" s="1" t="s">
        <v>171</v>
      </c>
      <c r="B23" s="1">
        <v>7</v>
      </c>
      <c r="C23" s="1">
        <v>5</v>
      </c>
      <c r="D23" s="1" t="s">
        <v>131</v>
      </c>
      <c r="E23" s="6" t="s">
        <v>172</v>
      </c>
      <c r="F23" s="6">
        <v>105</v>
      </c>
      <c r="G23" s="8" t="s">
        <v>105</v>
      </c>
      <c r="H23" s="9"/>
      <c r="I23" s="10" t="str">
        <f>IF(H23="","",H23+'Revision Plan'!$G$4)</f>
        <v/>
      </c>
      <c r="J23" s="8"/>
      <c r="K23" s="6" t="s">
        <v>115</v>
      </c>
      <c r="L23" s="6" t="s">
        <v>173</v>
      </c>
      <c r="M23" s="6" t="s">
        <v>174</v>
      </c>
      <c r="N23" s="8"/>
    </row>
    <row r="24" spans="1:14" ht="76.05" customHeight="1">
      <c r="A24" s="5" t="s">
        <v>175</v>
      </c>
      <c r="B24" s="5">
        <v>8</v>
      </c>
      <c r="C24" s="5">
        <v>6</v>
      </c>
      <c r="D24" s="5" t="s">
        <v>103</v>
      </c>
      <c r="E24" s="7" t="s">
        <v>176</v>
      </c>
      <c r="F24" s="7">
        <v>110</v>
      </c>
      <c r="G24" s="8" t="s">
        <v>105</v>
      </c>
      <c r="H24" s="9"/>
      <c r="I24" s="11" t="str">
        <f>IF(H24="","",H24+'Revision Plan'!$G$4)</f>
        <v/>
      </c>
      <c r="J24" s="8"/>
      <c r="K24" s="7" t="s">
        <v>115</v>
      </c>
      <c r="L24" s="7" t="s">
        <v>177</v>
      </c>
      <c r="M24" s="7" t="s">
        <v>178</v>
      </c>
      <c r="N24" s="8"/>
    </row>
    <row r="25" spans="1:14" ht="76.05" customHeight="1">
      <c r="A25" s="1" t="s">
        <v>179</v>
      </c>
      <c r="B25" s="1">
        <v>8</v>
      </c>
      <c r="C25" s="1">
        <v>6</v>
      </c>
      <c r="D25" s="1" t="s">
        <v>131</v>
      </c>
      <c r="E25" s="6" t="s">
        <v>180</v>
      </c>
      <c r="F25" s="6">
        <v>65</v>
      </c>
      <c r="G25" s="8" t="s">
        <v>105</v>
      </c>
      <c r="H25" s="9"/>
      <c r="I25" s="10" t="str">
        <f>IF(H25="","",H25+'Revision Plan'!$G$4)</f>
        <v/>
      </c>
      <c r="J25" s="8"/>
      <c r="K25" s="6" t="s">
        <v>181</v>
      </c>
      <c r="L25" s="6" t="s">
        <v>182</v>
      </c>
      <c r="M25" s="6" t="s">
        <v>183</v>
      </c>
      <c r="N25" s="8"/>
    </row>
    <row r="26" spans="1:14" ht="76.05" customHeight="1">
      <c r="A26" s="5" t="s">
        <v>184</v>
      </c>
      <c r="B26" s="5">
        <v>9</v>
      </c>
      <c r="C26" s="5">
        <v>7</v>
      </c>
      <c r="D26" s="5" t="s">
        <v>103</v>
      </c>
      <c r="E26" s="7" t="s">
        <v>185</v>
      </c>
      <c r="F26" s="7">
        <v>100</v>
      </c>
      <c r="G26" s="8" t="s">
        <v>105</v>
      </c>
      <c r="H26" s="9"/>
      <c r="I26" s="11" t="str">
        <f>IF(H26="","",H26+'Revision Plan'!$G$4)</f>
        <v/>
      </c>
      <c r="J26" s="8"/>
      <c r="K26" s="7" t="s">
        <v>115</v>
      </c>
      <c r="L26" s="7" t="s">
        <v>186</v>
      </c>
      <c r="M26" s="7" t="s">
        <v>187</v>
      </c>
      <c r="N26" s="8"/>
    </row>
    <row r="27" spans="1:14" ht="76.05" customHeight="1">
      <c r="A27" s="1" t="s">
        <v>188</v>
      </c>
      <c r="B27" s="1">
        <v>9</v>
      </c>
      <c r="C27" s="1">
        <v>7</v>
      </c>
      <c r="D27" s="1" t="s">
        <v>113</v>
      </c>
      <c r="E27" s="6" t="s">
        <v>189</v>
      </c>
      <c r="F27" s="6">
        <v>70</v>
      </c>
      <c r="G27" s="8" t="s">
        <v>105</v>
      </c>
      <c r="H27" s="9"/>
      <c r="I27" s="10" t="str">
        <f>IF(H27="","",H27+'Revision Plan'!$G$4)</f>
        <v/>
      </c>
      <c r="J27" s="8"/>
      <c r="K27" s="6" t="s">
        <v>190</v>
      </c>
      <c r="L27" s="6" t="s">
        <v>191</v>
      </c>
      <c r="M27" s="6" t="s">
        <v>192</v>
      </c>
      <c r="N27" s="8"/>
    </row>
    <row r="28" spans="1:14" ht="76.05" customHeight="1">
      <c r="A28" s="5" t="s">
        <v>193</v>
      </c>
      <c r="B28" s="5">
        <v>10</v>
      </c>
      <c r="C28" s="5">
        <v>8</v>
      </c>
      <c r="D28" s="5" t="s">
        <v>103</v>
      </c>
      <c r="E28" s="7" t="s">
        <v>194</v>
      </c>
      <c r="F28" s="7">
        <v>140</v>
      </c>
      <c r="G28" s="8" t="s">
        <v>105</v>
      </c>
      <c r="H28" s="9"/>
      <c r="I28" s="11" t="str">
        <f>IF(H28="","",H28+'Revision Plan'!$G$4)</f>
        <v/>
      </c>
      <c r="J28" s="8"/>
      <c r="K28" s="7" t="s">
        <v>190</v>
      </c>
      <c r="L28" s="7" t="s">
        <v>195</v>
      </c>
      <c r="M28" s="7" t="s">
        <v>196</v>
      </c>
      <c r="N28" s="8"/>
    </row>
    <row r="29" spans="1:14" ht="76.05" customHeight="1">
      <c r="A29" s="1" t="s">
        <v>197</v>
      </c>
      <c r="B29" s="1">
        <v>10</v>
      </c>
      <c r="C29" s="1">
        <v>8</v>
      </c>
      <c r="D29" s="1" t="s">
        <v>103</v>
      </c>
      <c r="E29" s="6" t="s">
        <v>198</v>
      </c>
      <c r="F29" s="6">
        <v>35</v>
      </c>
      <c r="G29" s="8" t="s">
        <v>105</v>
      </c>
      <c r="H29" s="9"/>
      <c r="I29" s="10" t="str">
        <f>IF(H29="","",H29+'Revision Plan'!$G$4)</f>
        <v/>
      </c>
      <c r="J29" s="8"/>
      <c r="K29" s="6" t="s">
        <v>199</v>
      </c>
      <c r="L29" s="6" t="s">
        <v>200</v>
      </c>
      <c r="M29" s="6" t="s">
        <v>108</v>
      </c>
      <c r="N29" s="8"/>
    </row>
    <row r="30" spans="1:14" ht="76.05" customHeight="1">
      <c r="A30" s="5" t="s">
        <v>201</v>
      </c>
      <c r="B30" s="5">
        <v>11</v>
      </c>
      <c r="C30" s="5">
        <v>9</v>
      </c>
      <c r="D30" s="5" t="s">
        <v>103</v>
      </c>
      <c r="E30" s="7" t="s">
        <v>202</v>
      </c>
      <c r="F30" s="7">
        <v>90</v>
      </c>
      <c r="G30" s="8" t="s">
        <v>105</v>
      </c>
      <c r="H30" s="9"/>
      <c r="I30" s="11" t="str">
        <f>IF(H30="","",H30+'Revision Plan'!$G$4)</f>
        <v/>
      </c>
      <c r="J30" s="8"/>
      <c r="K30" s="7" t="s">
        <v>115</v>
      </c>
      <c r="L30" s="7" t="s">
        <v>203</v>
      </c>
      <c r="M30" s="7" t="s">
        <v>204</v>
      </c>
      <c r="N30" s="8"/>
    </row>
    <row r="31" spans="1:14" ht="76.05" customHeight="1">
      <c r="A31" s="1" t="s">
        <v>205</v>
      </c>
      <c r="B31" s="1">
        <v>11</v>
      </c>
      <c r="C31" s="1">
        <v>9</v>
      </c>
      <c r="D31" s="1" t="s">
        <v>131</v>
      </c>
      <c r="E31" s="6" t="s">
        <v>206</v>
      </c>
      <c r="F31" s="6">
        <v>80</v>
      </c>
      <c r="G31" s="8" t="s">
        <v>105</v>
      </c>
      <c r="H31" s="9"/>
      <c r="I31" s="10" t="str">
        <f>IF(H31="","",H31+'Revision Plan'!$G$4)</f>
        <v/>
      </c>
      <c r="J31" s="8"/>
      <c r="K31" s="6" t="s">
        <v>115</v>
      </c>
      <c r="L31" s="6" t="s">
        <v>207</v>
      </c>
      <c r="M31" s="6" t="s">
        <v>208</v>
      </c>
      <c r="N31" s="8"/>
    </row>
    <row r="32" spans="1:14" ht="76.05" customHeight="1">
      <c r="A32" s="5" t="s">
        <v>209</v>
      </c>
      <c r="B32" s="5">
        <v>12</v>
      </c>
      <c r="C32" s="5">
        <v>10</v>
      </c>
      <c r="D32" s="5" t="s">
        <v>131</v>
      </c>
      <c r="E32" s="7" t="s">
        <v>210</v>
      </c>
      <c r="F32" s="7">
        <v>40</v>
      </c>
      <c r="G32" s="8" t="s">
        <v>105</v>
      </c>
      <c r="H32" s="9"/>
      <c r="I32" s="11" t="str">
        <f>IF(H32="","",H32+'Revision Plan'!$G$4)</f>
        <v/>
      </c>
      <c r="J32" s="8"/>
      <c r="K32" s="7" t="s">
        <v>115</v>
      </c>
      <c r="L32" s="7" t="s">
        <v>211</v>
      </c>
      <c r="M32" s="7" t="s">
        <v>212</v>
      </c>
      <c r="N32" s="8"/>
    </row>
    <row r="33" spans="1:14" ht="76.05" customHeight="1">
      <c r="A33" s="1" t="s">
        <v>213</v>
      </c>
      <c r="B33" s="1">
        <v>12</v>
      </c>
      <c r="C33" s="1">
        <v>10</v>
      </c>
      <c r="D33" s="1" t="s">
        <v>103</v>
      </c>
      <c r="E33" s="6" t="s">
        <v>214</v>
      </c>
      <c r="F33" s="6">
        <v>90</v>
      </c>
      <c r="G33" s="8" t="s">
        <v>105</v>
      </c>
      <c r="H33" s="9"/>
      <c r="I33" s="10" t="str">
        <f>IF(H33="","",H33+'Revision Plan'!$G$4)</f>
        <v/>
      </c>
      <c r="J33" s="8"/>
      <c r="K33" s="6" t="s">
        <v>115</v>
      </c>
      <c r="L33" s="6" t="s">
        <v>215</v>
      </c>
      <c r="M33" s="6" t="s">
        <v>216</v>
      </c>
      <c r="N33" s="8"/>
    </row>
    <row r="34" spans="1:14" ht="76.05" customHeight="1">
      <c r="A34" s="5" t="s">
        <v>217</v>
      </c>
      <c r="B34" s="5">
        <v>12</v>
      </c>
      <c r="C34" s="5">
        <v>10</v>
      </c>
      <c r="D34" s="5" t="s">
        <v>131</v>
      </c>
      <c r="E34" s="7" t="s">
        <v>218</v>
      </c>
      <c r="F34" s="7">
        <v>45</v>
      </c>
      <c r="G34" s="8" t="s">
        <v>105</v>
      </c>
      <c r="H34" s="9"/>
      <c r="I34" s="11" t="str">
        <f>IF(H34="","",H34+'Revision Plan'!$G$4)</f>
        <v/>
      </c>
      <c r="J34" s="8"/>
      <c r="K34" s="7" t="s">
        <v>115</v>
      </c>
      <c r="L34" s="7" t="s">
        <v>219</v>
      </c>
      <c r="M34" s="7" t="s">
        <v>220</v>
      </c>
      <c r="N34" s="8"/>
    </row>
    <row r="35" spans="1:14" ht="76.05" customHeight="1">
      <c r="A35" s="1" t="s">
        <v>221</v>
      </c>
      <c r="B35" s="1">
        <v>13</v>
      </c>
      <c r="C35" s="1">
        <v>10</v>
      </c>
      <c r="D35" s="1" t="s">
        <v>103</v>
      </c>
      <c r="E35" s="6" t="s">
        <v>222</v>
      </c>
      <c r="F35" s="6">
        <v>70</v>
      </c>
      <c r="G35" s="8" t="s">
        <v>105</v>
      </c>
      <c r="H35" s="9"/>
      <c r="I35" s="10" t="str">
        <f>IF(H35="","",H35+'Revision Plan'!$G$4)</f>
        <v/>
      </c>
      <c r="J35" s="8"/>
      <c r="K35" s="6" t="s">
        <v>115</v>
      </c>
      <c r="L35" s="6" t="s">
        <v>223</v>
      </c>
      <c r="M35" s="6" t="s">
        <v>224</v>
      </c>
      <c r="N35" s="8"/>
    </row>
    <row r="36" spans="1:14" ht="76.05" customHeight="1">
      <c r="A36" s="5" t="s">
        <v>225</v>
      </c>
      <c r="B36" s="5">
        <v>13</v>
      </c>
      <c r="C36" s="5">
        <v>10</v>
      </c>
      <c r="D36" s="5" t="s">
        <v>103</v>
      </c>
      <c r="E36" s="7" t="s">
        <v>226</v>
      </c>
      <c r="F36" s="7">
        <v>105</v>
      </c>
      <c r="G36" s="8" t="s">
        <v>105</v>
      </c>
      <c r="H36" s="9"/>
      <c r="I36" s="11" t="str">
        <f>IF(H36="","",H36+'Revision Plan'!$G$4)</f>
        <v/>
      </c>
      <c r="J36" s="8"/>
      <c r="K36" s="7" t="s">
        <v>115</v>
      </c>
      <c r="L36" s="7" t="s">
        <v>227</v>
      </c>
      <c r="M36" s="7" t="s">
        <v>228</v>
      </c>
      <c r="N36" s="8"/>
    </row>
    <row r="37" spans="1:14" ht="76.05" customHeight="1">
      <c r="A37" s="1" t="s">
        <v>229</v>
      </c>
      <c r="B37" s="1">
        <v>14</v>
      </c>
      <c r="C37" s="1">
        <v>11</v>
      </c>
      <c r="D37" s="1" t="s">
        <v>103</v>
      </c>
      <c r="E37" s="6" t="s">
        <v>230</v>
      </c>
      <c r="F37" s="6">
        <v>120</v>
      </c>
      <c r="G37" s="8" t="s">
        <v>105</v>
      </c>
      <c r="H37" s="9"/>
      <c r="I37" s="10" t="str">
        <f>IF(H37="","",H37+'Revision Plan'!$G$4)</f>
        <v/>
      </c>
      <c r="J37" s="8"/>
      <c r="K37" s="6" t="s">
        <v>115</v>
      </c>
      <c r="L37" s="6" t="s">
        <v>231</v>
      </c>
      <c r="M37" s="6" t="s">
        <v>232</v>
      </c>
      <c r="N37" s="8"/>
    </row>
    <row r="38" spans="1:14" ht="76.05" customHeight="1">
      <c r="A38" s="5" t="s">
        <v>233</v>
      </c>
      <c r="B38" s="5">
        <v>14</v>
      </c>
      <c r="C38" s="5">
        <v>11</v>
      </c>
      <c r="D38" s="5" t="s">
        <v>131</v>
      </c>
      <c r="E38" s="7" t="s">
        <v>234</v>
      </c>
      <c r="F38" s="7">
        <v>50</v>
      </c>
      <c r="G38" s="8" t="s">
        <v>105</v>
      </c>
      <c r="H38" s="9"/>
      <c r="I38" s="11" t="str">
        <f>IF(H38="","",H38+'Revision Plan'!$G$4)</f>
        <v/>
      </c>
      <c r="J38" s="8"/>
      <c r="K38" s="7" t="s">
        <v>235</v>
      </c>
      <c r="L38" s="7" t="s">
        <v>236</v>
      </c>
      <c r="M38" s="7" t="s">
        <v>108</v>
      </c>
      <c r="N38" s="8"/>
    </row>
    <row r="39" spans="1:14" ht="76.05" customHeight="1">
      <c r="A39" s="1" t="s">
        <v>237</v>
      </c>
      <c r="B39" s="1">
        <v>15</v>
      </c>
      <c r="C39" s="1">
        <v>11</v>
      </c>
      <c r="D39" s="1" t="s">
        <v>103</v>
      </c>
      <c r="E39" s="6" t="s">
        <v>238</v>
      </c>
      <c r="F39" s="6">
        <v>120</v>
      </c>
      <c r="G39" s="8" t="s">
        <v>105</v>
      </c>
      <c r="H39" s="9"/>
      <c r="I39" s="10" t="str">
        <f>IF(H39="","",H39+'Revision Plan'!$G$4)</f>
        <v/>
      </c>
      <c r="J39" s="8"/>
      <c r="K39" s="6" t="s">
        <v>115</v>
      </c>
      <c r="L39" s="6" t="s">
        <v>239</v>
      </c>
      <c r="M39" s="6" t="s">
        <v>240</v>
      </c>
      <c r="N39" s="8"/>
    </row>
    <row r="40" spans="1:14" ht="76.05" customHeight="1">
      <c r="A40" s="5" t="s">
        <v>241</v>
      </c>
      <c r="B40" s="5">
        <v>15</v>
      </c>
      <c r="C40" s="5">
        <v>11</v>
      </c>
      <c r="D40" s="5" t="s">
        <v>103</v>
      </c>
      <c r="E40" s="7" t="s">
        <v>242</v>
      </c>
      <c r="F40" s="7">
        <v>60</v>
      </c>
      <c r="G40" s="8" t="s">
        <v>105</v>
      </c>
      <c r="H40" s="9"/>
      <c r="I40" s="11" t="str">
        <f>IF(H40="","",H40+'Revision Plan'!$G$4)</f>
        <v/>
      </c>
      <c r="J40" s="8"/>
      <c r="K40" s="7" t="s">
        <v>243</v>
      </c>
      <c r="L40" s="7" t="s">
        <v>244</v>
      </c>
      <c r="M40" s="7" t="s">
        <v>108</v>
      </c>
      <c r="N40" s="8"/>
    </row>
    <row r="41" spans="1:14" ht="76.05" customHeight="1">
      <c r="A41" s="1" t="s">
        <v>245</v>
      </c>
      <c r="B41" s="1">
        <v>16</v>
      </c>
      <c r="C41" s="1">
        <v>12</v>
      </c>
      <c r="D41" s="1" t="s">
        <v>103</v>
      </c>
      <c r="E41" s="6" t="s">
        <v>246</v>
      </c>
      <c r="F41" s="6">
        <v>100</v>
      </c>
      <c r="G41" s="8" t="s">
        <v>105</v>
      </c>
      <c r="H41" s="9"/>
      <c r="I41" s="10" t="str">
        <f>IF(H41="","",H41+'Revision Plan'!$G$4)</f>
        <v/>
      </c>
      <c r="J41" s="8"/>
      <c r="K41" s="6" t="s">
        <v>115</v>
      </c>
      <c r="L41" s="6" t="s">
        <v>247</v>
      </c>
      <c r="M41" s="6" t="s">
        <v>248</v>
      </c>
      <c r="N41" s="8"/>
    </row>
    <row r="42" spans="1:14" ht="76.05" customHeight="1">
      <c r="A42" s="5" t="s">
        <v>249</v>
      </c>
      <c r="B42" s="5">
        <v>16</v>
      </c>
      <c r="C42" s="5">
        <v>12</v>
      </c>
      <c r="D42" s="5" t="s">
        <v>131</v>
      </c>
      <c r="E42" s="7" t="s">
        <v>250</v>
      </c>
      <c r="F42" s="7">
        <v>75</v>
      </c>
      <c r="G42" s="8" t="s">
        <v>105</v>
      </c>
      <c r="H42" s="9"/>
      <c r="I42" s="11" t="str">
        <f>IF(H42="","",H42+'Revision Plan'!$G$4)</f>
        <v/>
      </c>
      <c r="J42" s="8"/>
      <c r="K42" s="7" t="s">
        <v>251</v>
      </c>
      <c r="L42" s="7" t="s">
        <v>252</v>
      </c>
      <c r="M42" s="7" t="s">
        <v>183</v>
      </c>
      <c r="N42" s="8"/>
    </row>
    <row r="43" spans="1:14" ht="76.05" customHeight="1">
      <c r="A43" s="1" t="s">
        <v>253</v>
      </c>
      <c r="B43" s="1">
        <v>17</v>
      </c>
      <c r="C43" s="1">
        <v>12</v>
      </c>
      <c r="D43" s="1" t="s">
        <v>131</v>
      </c>
      <c r="E43" s="6" t="s">
        <v>254</v>
      </c>
      <c r="F43" s="6">
        <v>85</v>
      </c>
      <c r="G43" s="8" t="s">
        <v>105</v>
      </c>
      <c r="H43" s="9"/>
      <c r="I43" s="10" t="str">
        <f>IF(H43="","",H43+'Revision Plan'!$G$4)</f>
        <v/>
      </c>
      <c r="J43" s="8"/>
      <c r="K43" s="6" t="s">
        <v>115</v>
      </c>
      <c r="L43" s="6" t="s">
        <v>255</v>
      </c>
      <c r="M43" s="6" t="s">
        <v>256</v>
      </c>
      <c r="N43" s="8"/>
    </row>
    <row r="44" spans="1:14" ht="76.05" customHeight="1">
      <c r="A44" s="5" t="s">
        <v>257</v>
      </c>
      <c r="B44" s="5">
        <v>17</v>
      </c>
      <c r="C44" s="5">
        <v>12</v>
      </c>
      <c r="D44" s="5" t="s">
        <v>131</v>
      </c>
      <c r="E44" s="7" t="s">
        <v>258</v>
      </c>
      <c r="F44" s="7">
        <v>85</v>
      </c>
      <c r="G44" s="8" t="s">
        <v>105</v>
      </c>
      <c r="H44" s="9"/>
      <c r="I44" s="11" t="str">
        <f>IF(H44="","",H44+'Revision Plan'!$G$4)</f>
        <v/>
      </c>
      <c r="J44" s="8"/>
      <c r="K44" s="7" t="s">
        <v>115</v>
      </c>
      <c r="L44" s="7" t="s">
        <v>259</v>
      </c>
      <c r="M44" s="7" t="s">
        <v>260</v>
      </c>
      <c r="N44" s="8"/>
    </row>
    <row r="45" spans="1:14" ht="76.05" customHeight="1">
      <c r="A45" s="1" t="s">
        <v>261</v>
      </c>
      <c r="B45" s="1">
        <v>18</v>
      </c>
      <c r="C45" s="1">
        <v>13</v>
      </c>
      <c r="D45" s="1" t="s">
        <v>131</v>
      </c>
      <c r="E45" s="6" t="s">
        <v>262</v>
      </c>
      <c r="F45" s="6">
        <v>85</v>
      </c>
      <c r="G45" s="8" t="s">
        <v>105</v>
      </c>
      <c r="H45" s="9"/>
      <c r="I45" s="10" t="str">
        <f>IF(H45="","",H45+'Revision Plan'!$G$4)</f>
        <v/>
      </c>
      <c r="J45" s="8"/>
      <c r="K45" s="6" t="s">
        <v>181</v>
      </c>
      <c r="L45" s="6" t="s">
        <v>263</v>
      </c>
      <c r="M45" s="6" t="s">
        <v>183</v>
      </c>
      <c r="N45" s="8"/>
    </row>
    <row r="46" spans="1:14" ht="76.05" customHeight="1">
      <c r="A46" s="5" t="s">
        <v>264</v>
      </c>
      <c r="B46" s="5">
        <v>18</v>
      </c>
      <c r="C46" s="5">
        <v>13</v>
      </c>
      <c r="D46" s="5" t="s">
        <v>131</v>
      </c>
      <c r="E46" s="7" t="s">
        <v>265</v>
      </c>
      <c r="F46" s="7">
        <v>85</v>
      </c>
      <c r="G46" s="8" t="s">
        <v>105</v>
      </c>
      <c r="H46" s="9"/>
      <c r="I46" s="11" t="str">
        <f>IF(H46="","",H46+'Revision Plan'!$G$4)</f>
        <v/>
      </c>
      <c r="J46" s="8"/>
      <c r="K46" s="7" t="s">
        <v>181</v>
      </c>
      <c r="L46" s="7" t="s">
        <v>266</v>
      </c>
      <c r="M46" s="7" t="s">
        <v>183</v>
      </c>
      <c r="N46" s="8"/>
    </row>
    <row r="47" spans="1:14" ht="76.05" customHeight="1">
      <c r="A47" s="1" t="s">
        <v>267</v>
      </c>
      <c r="B47" s="1">
        <v>19</v>
      </c>
      <c r="C47" s="1">
        <v>13</v>
      </c>
      <c r="D47" s="1" t="s">
        <v>113</v>
      </c>
      <c r="E47" s="6" t="s">
        <v>268</v>
      </c>
      <c r="F47" s="6">
        <v>90</v>
      </c>
      <c r="G47" s="8" t="s">
        <v>105</v>
      </c>
      <c r="H47" s="9"/>
      <c r="I47" s="10" t="str">
        <f>IF(H47="","",H47+'Revision Plan'!$G$4)</f>
        <v/>
      </c>
      <c r="J47" s="8"/>
      <c r="K47" s="6" t="s">
        <v>181</v>
      </c>
      <c r="L47" s="6" t="s">
        <v>269</v>
      </c>
      <c r="M47" s="6" t="s">
        <v>183</v>
      </c>
      <c r="N47" s="8"/>
    </row>
    <row r="48" spans="1:14" ht="76.05" customHeight="1">
      <c r="A48" s="5" t="s">
        <v>270</v>
      </c>
      <c r="B48" s="5">
        <v>19</v>
      </c>
      <c r="C48" s="5">
        <v>13</v>
      </c>
      <c r="D48" s="5" t="s">
        <v>113</v>
      </c>
      <c r="E48" s="7" t="s">
        <v>271</v>
      </c>
      <c r="F48" s="7">
        <v>30</v>
      </c>
      <c r="G48" s="8" t="s">
        <v>105</v>
      </c>
      <c r="H48" s="9"/>
      <c r="I48" s="11" t="str">
        <f>IF(H48="","",H48+'Revision Plan'!$G$4)</f>
        <v/>
      </c>
      <c r="J48" s="8"/>
      <c r="K48" s="7" t="s">
        <v>106</v>
      </c>
      <c r="L48" s="7" t="s">
        <v>272</v>
      </c>
      <c r="M48" s="7" t="s">
        <v>108</v>
      </c>
      <c r="N48" s="8"/>
    </row>
    <row r="49" spans="1:14" ht="76.05" customHeight="1">
      <c r="A49" s="1" t="s">
        <v>273</v>
      </c>
      <c r="B49" s="1">
        <v>19</v>
      </c>
      <c r="C49" s="1">
        <v>13</v>
      </c>
      <c r="D49" s="1" t="s">
        <v>103</v>
      </c>
      <c r="E49" s="6" t="s">
        <v>274</v>
      </c>
      <c r="F49" s="6">
        <v>50</v>
      </c>
      <c r="G49" s="8" t="s">
        <v>105</v>
      </c>
      <c r="H49" s="9"/>
      <c r="I49" s="10" t="str">
        <f>IF(H49="","",H49+'Revision Plan'!$G$4)</f>
        <v/>
      </c>
      <c r="J49" s="8"/>
      <c r="K49" s="6" t="s">
        <v>157</v>
      </c>
      <c r="L49" s="6" t="s">
        <v>275</v>
      </c>
      <c r="M49" s="6" t="s">
        <v>108</v>
      </c>
      <c r="N49" s="8"/>
    </row>
    <row r="50" spans="1:14" ht="76.05" customHeight="1">
      <c r="A50" s="5" t="s">
        <v>276</v>
      </c>
      <c r="B50" s="5">
        <v>20</v>
      </c>
      <c r="C50" s="5">
        <v>14</v>
      </c>
      <c r="D50" s="5" t="s">
        <v>103</v>
      </c>
      <c r="E50" s="7" t="s">
        <v>277</v>
      </c>
      <c r="F50" s="7">
        <v>90</v>
      </c>
      <c r="G50" s="8" t="s">
        <v>105</v>
      </c>
      <c r="H50" s="9"/>
      <c r="I50" s="11" t="str">
        <f>IF(H50="","",H50+'Revision Plan'!$G$4)</f>
        <v/>
      </c>
      <c r="J50" s="8"/>
      <c r="K50" s="7" t="s">
        <v>278</v>
      </c>
      <c r="L50" s="7" t="s">
        <v>279</v>
      </c>
      <c r="M50" s="7" t="s">
        <v>108</v>
      </c>
      <c r="N50" s="8"/>
    </row>
    <row r="51" spans="1:14" ht="76.05" customHeight="1">
      <c r="A51" s="1" t="s">
        <v>280</v>
      </c>
      <c r="B51" s="1">
        <v>20</v>
      </c>
      <c r="C51" s="1">
        <v>14</v>
      </c>
      <c r="D51" s="1" t="s">
        <v>103</v>
      </c>
      <c r="E51" s="6" t="s">
        <v>281</v>
      </c>
      <c r="F51" s="6">
        <v>90</v>
      </c>
      <c r="G51" s="8" t="s">
        <v>105</v>
      </c>
      <c r="H51" s="9"/>
      <c r="I51" s="10" t="str">
        <f>IF(H51="","",H51+'Revision Plan'!$G$4)</f>
        <v/>
      </c>
      <c r="J51" s="8"/>
      <c r="K51" s="6" t="s">
        <v>278</v>
      </c>
      <c r="L51" s="6" t="s">
        <v>282</v>
      </c>
      <c r="M51" s="6" t="s">
        <v>108</v>
      </c>
      <c r="N51" s="8"/>
    </row>
    <row r="52" spans="1:14" ht="76.05" customHeight="1">
      <c r="A52" s="5" t="s">
        <v>283</v>
      </c>
      <c r="B52" s="5">
        <v>21</v>
      </c>
      <c r="C52" s="5">
        <v>14</v>
      </c>
      <c r="D52" s="5" t="s">
        <v>103</v>
      </c>
      <c r="E52" s="7" t="s">
        <v>284</v>
      </c>
      <c r="F52" s="7">
        <v>90</v>
      </c>
      <c r="G52" s="8" t="s">
        <v>105</v>
      </c>
      <c r="H52" s="9"/>
      <c r="I52" s="11" t="str">
        <f>IF(H52="","",H52+'Revision Plan'!$G$4)</f>
        <v/>
      </c>
      <c r="J52" s="8"/>
      <c r="K52" s="7" t="s">
        <v>278</v>
      </c>
      <c r="L52" s="7" t="s">
        <v>285</v>
      </c>
      <c r="M52" s="7" t="s">
        <v>108</v>
      </c>
      <c r="N52" s="8"/>
    </row>
    <row r="53" spans="1:14" ht="76.05" customHeight="1">
      <c r="A53" s="1" t="s">
        <v>286</v>
      </c>
      <c r="B53" s="1">
        <v>21</v>
      </c>
      <c r="C53" s="1">
        <v>14</v>
      </c>
      <c r="D53" s="1" t="s">
        <v>103</v>
      </c>
      <c r="E53" s="6" t="s">
        <v>287</v>
      </c>
      <c r="F53" s="6">
        <v>75</v>
      </c>
      <c r="G53" s="8" t="s">
        <v>105</v>
      </c>
      <c r="H53" s="9"/>
      <c r="I53" s="10" t="str">
        <f>IF(H53="","",H53+'Revision Plan'!$G$4)</f>
        <v/>
      </c>
      <c r="J53" s="8"/>
      <c r="K53" s="6" t="s">
        <v>157</v>
      </c>
      <c r="L53" s="6" t="s">
        <v>288</v>
      </c>
      <c r="M53" s="6" t="s">
        <v>108</v>
      </c>
      <c r="N53" s="8"/>
    </row>
  </sheetData>
  <conditionalFormatting sqref="G7:G53">
    <cfRule type="containsText" dxfId="4" priority="1" operator="containsText" text="Done"/>
    <cfRule type="containsText" dxfId="3" priority="2" operator="containsText" text="Needs revisit"/>
    <cfRule type="containsText" dxfId="2" priority="3" operator="containsText" text="In progress"/>
  </conditionalFormatting>
  <conditionalFormatting sqref="I7:I53">
    <cfRule type="expression" dxfId="1" priority="4">
      <formula>AND(ISNUMBER(I7),I7&lt;TODAY())</formula>
    </cfRule>
  </conditionalFormatting>
  <dataValidations count="2">
    <dataValidation type="list" sqref="G7:G53" xr:uid="{00000000-0002-0000-0100-000000000000}">
      <formula1>"Not started,In progress,Needs revisit,Done"</formula1>
    </dataValidation>
    <dataValidation type="whole" operator="greaterThanOrEqual" sqref="J7:J53" xr:uid="{00000000-0002-0000-0100-000001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3.5"/>
  <cols>
    <col min="1" max="1" width="10" customWidth="1"/>
    <col min="2" max="2" width="29" customWidth="1"/>
    <col min="3" max="3" width="59" customWidth="1"/>
    <col min="4" max="4" width="95" customWidth="1"/>
    <col min="5" max="5" width="80" customWidth="1"/>
    <col min="6" max="6" width="14" customWidth="1"/>
    <col min="7" max="7" width="24" customWidth="1"/>
  </cols>
  <sheetData>
    <row r="1" spans="1:7" ht="24" customHeight="1">
      <c r="A1" s="1"/>
      <c r="B1" s="1"/>
      <c r="C1" s="1"/>
      <c r="D1" s="1"/>
      <c r="E1" s="1"/>
      <c r="F1" s="1"/>
      <c r="G1" s="1"/>
    </row>
    <row r="2" spans="1:7" ht="24" customHeight="1">
      <c r="A2" s="2" t="s">
        <v>289</v>
      </c>
      <c r="B2" s="1"/>
      <c r="C2" s="1"/>
      <c r="D2" s="1"/>
      <c r="E2" s="1"/>
      <c r="F2" s="1"/>
      <c r="G2" s="1"/>
    </row>
    <row r="3" spans="1:7" ht="24" customHeight="1">
      <c r="A3" s="3"/>
      <c r="B3" s="3"/>
      <c r="C3" s="3"/>
      <c r="D3" s="3"/>
      <c r="E3" s="3"/>
      <c r="F3" s="3"/>
      <c r="G3" s="3"/>
    </row>
    <row r="4" spans="1:7" ht="24" customHeight="1">
      <c r="A4" s="1" t="s">
        <v>290</v>
      </c>
      <c r="B4" s="1"/>
      <c r="C4" s="1"/>
      <c r="D4" s="1"/>
      <c r="E4" s="1"/>
      <c r="F4" s="1"/>
      <c r="G4" s="1"/>
    </row>
    <row r="5" spans="1:7" ht="24" customHeight="1">
      <c r="A5" s="1"/>
      <c r="B5" s="1"/>
      <c r="C5" s="1"/>
      <c r="D5" s="1"/>
      <c r="E5" s="1"/>
      <c r="F5" s="1"/>
      <c r="G5" s="1"/>
    </row>
    <row r="6" spans="1:7" ht="34.049999999999997" customHeight="1">
      <c r="A6" s="4" t="s">
        <v>91</v>
      </c>
      <c r="B6" s="4" t="s">
        <v>291</v>
      </c>
      <c r="C6" s="4" t="s">
        <v>292</v>
      </c>
      <c r="D6" s="4" t="s">
        <v>293</v>
      </c>
      <c r="E6" s="4" t="s">
        <v>294</v>
      </c>
      <c r="F6" s="4" t="s">
        <v>295</v>
      </c>
      <c r="G6" s="4" t="s">
        <v>296</v>
      </c>
    </row>
    <row r="7" spans="1:7" ht="88.05" customHeight="1">
      <c r="A7" s="6" t="s">
        <v>103</v>
      </c>
      <c r="B7" s="6" t="s">
        <v>297</v>
      </c>
      <c r="C7" s="6" t="s">
        <v>298</v>
      </c>
      <c r="D7" s="6" t="s">
        <v>299</v>
      </c>
      <c r="E7" s="6" t="s">
        <v>300</v>
      </c>
      <c r="F7" s="6" t="s">
        <v>301</v>
      </c>
      <c r="G7" s="6" t="s">
        <v>302</v>
      </c>
    </row>
    <row r="8" spans="1:7" ht="88.05" customHeight="1">
      <c r="A8" s="7" t="s">
        <v>103</v>
      </c>
      <c r="B8" s="7" t="s">
        <v>303</v>
      </c>
      <c r="C8" s="7" t="s">
        <v>304</v>
      </c>
      <c r="D8" s="7" t="s">
        <v>305</v>
      </c>
      <c r="E8" s="7" t="s">
        <v>306</v>
      </c>
      <c r="F8" s="7" t="s">
        <v>307</v>
      </c>
      <c r="G8" s="7" t="s">
        <v>308</v>
      </c>
    </row>
    <row r="9" spans="1:7" ht="88.05" customHeight="1">
      <c r="A9" s="6" t="s">
        <v>103</v>
      </c>
      <c r="B9" s="6" t="s">
        <v>309</v>
      </c>
      <c r="C9" s="6" t="s">
        <v>310</v>
      </c>
      <c r="D9" s="6" t="s">
        <v>311</v>
      </c>
      <c r="E9" s="6" t="s">
        <v>312</v>
      </c>
      <c r="F9" s="6" t="s">
        <v>313</v>
      </c>
      <c r="G9" s="6" t="s">
        <v>314</v>
      </c>
    </row>
    <row r="10" spans="1:7" ht="88.05" customHeight="1">
      <c r="A10" s="7" t="s">
        <v>103</v>
      </c>
      <c r="B10" s="7" t="s">
        <v>315</v>
      </c>
      <c r="C10" s="7" t="s">
        <v>316</v>
      </c>
      <c r="D10" s="7" t="s">
        <v>317</v>
      </c>
      <c r="E10" s="7" t="s">
        <v>318</v>
      </c>
      <c r="F10" s="7" t="s">
        <v>319</v>
      </c>
      <c r="G10" s="7" t="s">
        <v>314</v>
      </c>
    </row>
    <row r="11" spans="1:7" ht="88.05" customHeight="1">
      <c r="A11" s="6" t="s">
        <v>103</v>
      </c>
      <c r="B11" s="6" t="s">
        <v>320</v>
      </c>
      <c r="C11" s="6" t="s">
        <v>321</v>
      </c>
      <c r="D11" s="6" t="s">
        <v>322</v>
      </c>
      <c r="E11" s="6" t="s">
        <v>323</v>
      </c>
      <c r="F11" s="6" t="s">
        <v>324</v>
      </c>
      <c r="G11" s="6" t="s">
        <v>325</v>
      </c>
    </row>
    <row r="12" spans="1:7" ht="88.05" customHeight="1">
      <c r="A12" s="7" t="s">
        <v>103</v>
      </c>
      <c r="B12" s="7" t="s">
        <v>326</v>
      </c>
      <c r="C12" s="7" t="s">
        <v>327</v>
      </c>
      <c r="D12" s="7" t="s">
        <v>328</v>
      </c>
      <c r="E12" s="7" t="s">
        <v>329</v>
      </c>
      <c r="F12" s="7" t="s">
        <v>330</v>
      </c>
      <c r="G12" s="7" t="s">
        <v>325</v>
      </c>
    </row>
    <row r="13" spans="1:7" ht="88.05" customHeight="1">
      <c r="A13" s="6" t="s">
        <v>103</v>
      </c>
      <c r="B13" s="6" t="s">
        <v>331</v>
      </c>
      <c r="C13" s="6" t="s">
        <v>332</v>
      </c>
      <c r="D13" s="6" t="s">
        <v>333</v>
      </c>
      <c r="E13" s="6" t="s">
        <v>334</v>
      </c>
      <c r="F13" s="6" t="s">
        <v>330</v>
      </c>
      <c r="G13" s="6" t="s">
        <v>335</v>
      </c>
    </row>
    <row r="14" spans="1:7" ht="88.05" customHeight="1">
      <c r="A14" s="7" t="s">
        <v>103</v>
      </c>
      <c r="B14" s="7" t="s">
        <v>336</v>
      </c>
      <c r="C14" s="7" t="s">
        <v>337</v>
      </c>
      <c r="D14" s="7" t="s">
        <v>338</v>
      </c>
      <c r="E14" s="7" t="s">
        <v>339</v>
      </c>
      <c r="F14" s="7" t="s">
        <v>340</v>
      </c>
      <c r="G14" s="7" t="s">
        <v>341</v>
      </c>
    </row>
    <row r="15" spans="1:7" ht="88.05" customHeight="1">
      <c r="A15" s="6" t="s">
        <v>103</v>
      </c>
      <c r="B15" s="6" t="s">
        <v>342</v>
      </c>
      <c r="C15" s="6" t="s">
        <v>343</v>
      </c>
      <c r="D15" s="6" t="s">
        <v>344</v>
      </c>
      <c r="E15" s="6" t="s">
        <v>345</v>
      </c>
      <c r="F15" s="6" t="s">
        <v>346</v>
      </c>
      <c r="G15" s="6" t="s">
        <v>347</v>
      </c>
    </row>
    <row r="16" spans="1:7" ht="88.05" customHeight="1">
      <c r="A16" s="7" t="s">
        <v>103</v>
      </c>
      <c r="B16" s="7" t="s">
        <v>348</v>
      </c>
      <c r="C16" s="7" t="s">
        <v>349</v>
      </c>
      <c r="D16" s="7" t="s">
        <v>350</v>
      </c>
      <c r="E16" s="7" t="s">
        <v>351</v>
      </c>
      <c r="F16" s="7" t="s">
        <v>346</v>
      </c>
      <c r="G16" s="7" t="s">
        <v>325</v>
      </c>
    </row>
    <row r="17" spans="1:7" ht="88.05" customHeight="1">
      <c r="A17" s="6" t="s">
        <v>103</v>
      </c>
      <c r="B17" s="6" t="s">
        <v>352</v>
      </c>
      <c r="C17" s="6" t="s">
        <v>353</v>
      </c>
      <c r="D17" s="6" t="s">
        <v>354</v>
      </c>
      <c r="E17" s="6" t="s">
        <v>355</v>
      </c>
      <c r="F17" s="6" t="s">
        <v>356</v>
      </c>
      <c r="G17" s="6" t="s">
        <v>357</v>
      </c>
    </row>
    <row r="18" spans="1:7" ht="88.05" customHeight="1">
      <c r="A18" s="7" t="s">
        <v>103</v>
      </c>
      <c r="B18" s="7" t="s">
        <v>358</v>
      </c>
      <c r="C18" s="7" t="s">
        <v>359</v>
      </c>
      <c r="D18" s="7" t="s">
        <v>360</v>
      </c>
      <c r="E18" s="7" t="s">
        <v>361</v>
      </c>
      <c r="F18" s="7" t="s">
        <v>362</v>
      </c>
      <c r="G18" s="7" t="s">
        <v>314</v>
      </c>
    </row>
    <row r="19" spans="1:7" ht="88.05" customHeight="1">
      <c r="A19" s="6" t="s">
        <v>131</v>
      </c>
      <c r="B19" s="6" t="s">
        <v>363</v>
      </c>
      <c r="C19" s="6" t="s">
        <v>364</v>
      </c>
      <c r="D19" s="6" t="s">
        <v>365</v>
      </c>
      <c r="E19" s="6" t="s">
        <v>366</v>
      </c>
      <c r="F19" s="6" t="s">
        <v>367</v>
      </c>
      <c r="G19" s="6" t="s">
        <v>325</v>
      </c>
    </row>
    <row r="20" spans="1:7" ht="88.05" customHeight="1">
      <c r="A20" s="7" t="s">
        <v>131</v>
      </c>
      <c r="B20" s="7" t="s">
        <v>368</v>
      </c>
      <c r="C20" s="7" t="s">
        <v>369</v>
      </c>
      <c r="D20" s="7" t="s">
        <v>370</v>
      </c>
      <c r="E20" s="7" t="s">
        <v>371</v>
      </c>
      <c r="F20" s="7" t="s">
        <v>372</v>
      </c>
      <c r="G20" s="7" t="s">
        <v>373</v>
      </c>
    </row>
    <row r="21" spans="1:7" ht="88.05" customHeight="1">
      <c r="A21" s="6" t="s">
        <v>131</v>
      </c>
      <c r="B21" s="6" t="s">
        <v>374</v>
      </c>
      <c r="C21" s="6" t="s">
        <v>375</v>
      </c>
      <c r="D21" s="6" t="s">
        <v>376</v>
      </c>
      <c r="E21" s="6" t="s">
        <v>377</v>
      </c>
      <c r="F21" s="6" t="s">
        <v>378</v>
      </c>
      <c r="G21" s="6" t="s">
        <v>325</v>
      </c>
    </row>
    <row r="22" spans="1:7" ht="88.05" customHeight="1">
      <c r="A22" s="7" t="s">
        <v>131</v>
      </c>
      <c r="B22" s="7" t="s">
        <v>379</v>
      </c>
      <c r="C22" s="7" t="s">
        <v>380</v>
      </c>
      <c r="D22" s="7" t="s">
        <v>381</v>
      </c>
      <c r="E22" s="7" t="s">
        <v>382</v>
      </c>
      <c r="F22" s="7" t="s">
        <v>383</v>
      </c>
      <c r="G22" s="7" t="s">
        <v>190</v>
      </c>
    </row>
    <row r="23" spans="1:7" ht="88.05" customHeight="1">
      <c r="A23" s="6" t="s">
        <v>131</v>
      </c>
      <c r="B23" s="6" t="s">
        <v>384</v>
      </c>
      <c r="C23" s="6" t="s">
        <v>385</v>
      </c>
      <c r="D23" s="6" t="s">
        <v>386</v>
      </c>
      <c r="E23" s="6" t="s">
        <v>387</v>
      </c>
      <c r="F23" s="6" t="s">
        <v>388</v>
      </c>
      <c r="G23" s="6" t="s">
        <v>389</v>
      </c>
    </row>
    <row r="24" spans="1:7" ht="88.05" customHeight="1">
      <c r="A24" s="7" t="s">
        <v>131</v>
      </c>
      <c r="B24" s="7" t="s">
        <v>49</v>
      </c>
      <c r="C24" s="7" t="s">
        <v>390</v>
      </c>
      <c r="D24" s="7" t="s">
        <v>391</v>
      </c>
      <c r="E24" s="7" t="s">
        <v>392</v>
      </c>
      <c r="F24" s="7" t="s">
        <v>393</v>
      </c>
      <c r="G24" s="7" t="s">
        <v>373</v>
      </c>
    </row>
    <row r="25" spans="1:7" ht="88.05" customHeight="1">
      <c r="A25" s="6" t="s">
        <v>131</v>
      </c>
      <c r="B25" s="6" t="s">
        <v>394</v>
      </c>
      <c r="C25" s="6" t="s">
        <v>395</v>
      </c>
      <c r="D25" s="6" t="s">
        <v>396</v>
      </c>
      <c r="E25" s="6" t="s">
        <v>183</v>
      </c>
      <c r="F25" s="6" t="s">
        <v>397</v>
      </c>
      <c r="G25" s="6" t="s">
        <v>398</v>
      </c>
    </row>
    <row r="26" spans="1:7" ht="88.05" customHeight="1">
      <c r="A26" s="7" t="s">
        <v>131</v>
      </c>
      <c r="B26" s="7" t="s">
        <v>399</v>
      </c>
      <c r="C26" s="7" t="s">
        <v>400</v>
      </c>
      <c r="D26" s="7" t="s">
        <v>401</v>
      </c>
      <c r="E26" s="7" t="s">
        <v>402</v>
      </c>
      <c r="F26" s="7" t="s">
        <v>403</v>
      </c>
      <c r="G26" s="7" t="s">
        <v>404</v>
      </c>
    </row>
    <row r="27" spans="1:7" ht="88.05" customHeight="1">
      <c r="A27" s="6" t="s">
        <v>131</v>
      </c>
      <c r="B27" s="6" t="s">
        <v>405</v>
      </c>
      <c r="C27" s="6" t="s">
        <v>406</v>
      </c>
      <c r="D27" s="6" t="s">
        <v>407</v>
      </c>
      <c r="E27" s="6" t="s">
        <v>408</v>
      </c>
      <c r="F27" s="6" t="s">
        <v>324</v>
      </c>
      <c r="G27" s="6" t="s">
        <v>409</v>
      </c>
    </row>
    <row r="28" spans="1:7" ht="88.05" customHeight="1">
      <c r="A28" s="7" t="s">
        <v>103</v>
      </c>
      <c r="B28" s="7" t="s">
        <v>410</v>
      </c>
      <c r="C28" s="7" t="s">
        <v>411</v>
      </c>
      <c r="D28" s="7" t="s">
        <v>412</v>
      </c>
      <c r="E28" s="7" t="s">
        <v>413</v>
      </c>
      <c r="F28" s="7" t="s">
        <v>414</v>
      </c>
      <c r="G28" s="7" t="s">
        <v>415</v>
      </c>
    </row>
    <row r="29" spans="1:7" ht="88.05" customHeight="1">
      <c r="A29" s="6" t="s">
        <v>113</v>
      </c>
      <c r="B29" s="6" t="s">
        <v>416</v>
      </c>
      <c r="C29" s="6" t="s">
        <v>417</v>
      </c>
      <c r="D29" s="6" t="s">
        <v>418</v>
      </c>
      <c r="E29" s="6" t="s">
        <v>419</v>
      </c>
      <c r="F29" s="6" t="s">
        <v>420</v>
      </c>
      <c r="G29" s="6" t="s">
        <v>421</v>
      </c>
    </row>
    <row r="30" spans="1:7" ht="88.05" customHeight="1">
      <c r="A30" s="7" t="s">
        <v>103</v>
      </c>
      <c r="B30" s="7" t="s">
        <v>422</v>
      </c>
      <c r="C30" s="7" t="s">
        <v>423</v>
      </c>
      <c r="D30" s="7" t="s">
        <v>424</v>
      </c>
      <c r="E30" s="7" t="s">
        <v>425</v>
      </c>
      <c r="F30" s="7" t="s">
        <v>301</v>
      </c>
      <c r="G30" s="7" t="s">
        <v>426</v>
      </c>
    </row>
    <row r="31" spans="1:7" ht="24" customHeight="1">
      <c r="A31" s="1"/>
      <c r="B31" s="1"/>
      <c r="C31" s="1"/>
      <c r="D31" s="1"/>
      <c r="E31" s="1"/>
      <c r="F31" s="1"/>
      <c r="G3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RowHeight="13.5"/>
  <cols>
    <col min="1" max="1" width="58" customWidth="1"/>
    <col min="2" max="2" width="20" customWidth="1"/>
    <col min="3" max="3" width="18" customWidth="1"/>
    <col min="4" max="4" width="19" customWidth="1"/>
    <col min="5" max="5" width="100" customWidth="1"/>
    <col min="6" max="6" width="90" customWidth="1"/>
  </cols>
  <sheetData>
    <row r="1" spans="1:6" ht="24" customHeight="1">
      <c r="A1" s="1"/>
      <c r="B1" s="1"/>
      <c r="C1" s="1"/>
      <c r="D1" s="1"/>
      <c r="E1" s="1"/>
      <c r="F1" s="1"/>
    </row>
    <row r="2" spans="1:6" ht="24" customHeight="1">
      <c r="A2" s="2" t="s">
        <v>427</v>
      </c>
      <c r="B2" s="1"/>
      <c r="C2" s="1"/>
      <c r="D2" s="1"/>
      <c r="E2" s="1"/>
      <c r="F2" s="1"/>
    </row>
    <row r="3" spans="1:6" ht="24" customHeight="1">
      <c r="A3" s="3"/>
      <c r="B3" s="3"/>
      <c r="C3" s="3"/>
      <c r="D3" s="3"/>
      <c r="E3" s="3"/>
      <c r="F3" s="3"/>
    </row>
    <row r="4" spans="1:6" ht="24" customHeight="1">
      <c r="A4" s="1" t="s">
        <v>428</v>
      </c>
      <c r="B4" s="1"/>
      <c r="C4" s="1"/>
      <c r="D4" s="1"/>
      <c r="E4" s="1"/>
      <c r="F4" s="1"/>
    </row>
    <row r="5" spans="1:6" ht="24" customHeight="1">
      <c r="A5" s="1"/>
      <c r="B5" s="1"/>
      <c r="C5" s="1"/>
      <c r="D5" s="1"/>
      <c r="E5" s="1"/>
      <c r="F5" s="1"/>
    </row>
    <row r="6" spans="1:6" ht="34.049999999999997" customHeight="1">
      <c r="A6" s="4" t="s">
        <v>429</v>
      </c>
      <c r="B6" s="4" t="s">
        <v>430</v>
      </c>
      <c r="C6" s="4" t="s">
        <v>431</v>
      </c>
      <c r="D6" s="4" t="s">
        <v>432</v>
      </c>
      <c r="E6" s="4" t="s">
        <v>433</v>
      </c>
      <c r="F6" s="4" t="s">
        <v>434</v>
      </c>
    </row>
    <row r="7" spans="1:6" ht="56" customHeight="1">
      <c r="A7" s="6" t="s">
        <v>117</v>
      </c>
      <c r="B7" s="6" t="s">
        <v>112</v>
      </c>
      <c r="C7" s="6" t="s">
        <v>313</v>
      </c>
      <c r="D7" s="6" t="s">
        <v>435</v>
      </c>
      <c r="E7" s="6" t="s">
        <v>436</v>
      </c>
      <c r="F7" s="6" t="s">
        <v>437</v>
      </c>
    </row>
    <row r="8" spans="1:6" ht="56" customHeight="1">
      <c r="A8" s="7" t="s">
        <v>438</v>
      </c>
      <c r="B8" s="7" t="s">
        <v>209</v>
      </c>
      <c r="C8" s="7" t="s">
        <v>439</v>
      </c>
      <c r="D8" s="7" t="s">
        <v>435</v>
      </c>
      <c r="E8" s="7" t="s">
        <v>436</v>
      </c>
      <c r="F8" s="7" t="s">
        <v>440</v>
      </c>
    </row>
    <row r="9" spans="1:6" ht="56" customHeight="1">
      <c r="A9" s="6" t="s">
        <v>441</v>
      </c>
      <c r="B9" s="6" t="s">
        <v>205</v>
      </c>
      <c r="C9" s="6" t="s">
        <v>346</v>
      </c>
      <c r="D9" s="6" t="s">
        <v>442</v>
      </c>
      <c r="E9" s="6" t="s">
        <v>443</v>
      </c>
      <c r="F9" s="6" t="s">
        <v>444</v>
      </c>
    </row>
    <row r="10" spans="1:6" ht="56" customHeight="1">
      <c r="A10" s="7" t="s">
        <v>445</v>
      </c>
      <c r="B10" s="7" t="s">
        <v>201</v>
      </c>
      <c r="C10" s="7" t="s">
        <v>346</v>
      </c>
      <c r="D10" s="7" t="s">
        <v>435</v>
      </c>
      <c r="E10" s="7" t="s">
        <v>436</v>
      </c>
      <c r="F10" s="7" t="s">
        <v>446</v>
      </c>
    </row>
    <row r="11" spans="1:6" ht="56" customHeight="1">
      <c r="A11" s="6" t="s">
        <v>447</v>
      </c>
      <c r="B11" s="6" t="s">
        <v>201</v>
      </c>
      <c r="C11" s="6" t="s">
        <v>346</v>
      </c>
      <c r="D11" s="6" t="s">
        <v>435</v>
      </c>
      <c r="E11" s="6" t="s">
        <v>436</v>
      </c>
      <c r="F11" s="6" t="s">
        <v>448</v>
      </c>
    </row>
    <row r="12" spans="1:6" ht="56" customHeight="1">
      <c r="A12" s="7" t="s">
        <v>220</v>
      </c>
      <c r="B12" s="7" t="s">
        <v>217</v>
      </c>
      <c r="C12" s="7" t="s">
        <v>439</v>
      </c>
      <c r="D12" s="7" t="s">
        <v>435</v>
      </c>
      <c r="E12" s="7" t="s">
        <v>436</v>
      </c>
      <c r="F12" s="7" t="s">
        <v>449</v>
      </c>
    </row>
    <row r="13" spans="1:6" ht="56" customHeight="1">
      <c r="A13" s="6" t="s">
        <v>450</v>
      </c>
      <c r="B13" s="6" t="s">
        <v>201</v>
      </c>
      <c r="C13" s="6" t="s">
        <v>346</v>
      </c>
      <c r="D13" s="6" t="s">
        <v>435</v>
      </c>
      <c r="E13" s="6" t="s">
        <v>436</v>
      </c>
      <c r="F13" s="6" t="s">
        <v>451</v>
      </c>
    </row>
    <row r="14" spans="1:6" ht="56" customHeight="1">
      <c r="A14" s="7" t="s">
        <v>452</v>
      </c>
      <c r="B14" s="7" t="s">
        <v>201</v>
      </c>
      <c r="C14" s="7" t="s">
        <v>346</v>
      </c>
      <c r="D14" s="7" t="s">
        <v>435</v>
      </c>
      <c r="E14" s="7" t="s">
        <v>436</v>
      </c>
      <c r="F14" s="7" t="s">
        <v>453</v>
      </c>
    </row>
    <row r="15" spans="1:6" ht="56" customHeight="1">
      <c r="A15" s="6" t="s">
        <v>454</v>
      </c>
      <c r="B15" s="6" t="s">
        <v>205</v>
      </c>
      <c r="C15" s="6" t="s">
        <v>346</v>
      </c>
      <c r="D15" s="6" t="s">
        <v>435</v>
      </c>
      <c r="E15" s="6" t="s">
        <v>436</v>
      </c>
      <c r="F15" s="6" t="s">
        <v>455</v>
      </c>
    </row>
    <row r="16" spans="1:6" ht="56" customHeight="1">
      <c r="A16" s="7" t="s">
        <v>456</v>
      </c>
      <c r="B16" s="7" t="s">
        <v>201</v>
      </c>
      <c r="C16" s="7" t="s">
        <v>346</v>
      </c>
      <c r="D16" s="7" t="s">
        <v>435</v>
      </c>
      <c r="E16" s="7" t="s">
        <v>436</v>
      </c>
      <c r="F16" s="7" t="s">
        <v>457</v>
      </c>
    </row>
    <row r="17" spans="1:6" ht="56" customHeight="1">
      <c r="A17" s="6" t="s">
        <v>458</v>
      </c>
      <c r="B17" s="6" t="s">
        <v>209</v>
      </c>
      <c r="C17" s="6" t="s">
        <v>439</v>
      </c>
      <c r="D17" s="6" t="s">
        <v>435</v>
      </c>
      <c r="E17" s="6" t="s">
        <v>436</v>
      </c>
      <c r="F17" s="6" t="s">
        <v>459</v>
      </c>
    </row>
    <row r="18" spans="1:6" ht="56" customHeight="1">
      <c r="A18" s="7" t="s">
        <v>460</v>
      </c>
      <c r="B18" s="7" t="s">
        <v>205</v>
      </c>
      <c r="C18" s="7" t="s">
        <v>346</v>
      </c>
      <c r="D18" s="7" t="s">
        <v>435</v>
      </c>
      <c r="E18" s="7" t="s">
        <v>436</v>
      </c>
      <c r="F18" s="7" t="s">
        <v>461</v>
      </c>
    </row>
    <row r="19" spans="1:6" ht="56" customHeight="1">
      <c r="A19" s="6" t="s">
        <v>462</v>
      </c>
      <c r="B19" s="6" t="s">
        <v>205</v>
      </c>
      <c r="C19" s="6" t="s">
        <v>346</v>
      </c>
      <c r="D19" s="6" t="s">
        <v>442</v>
      </c>
      <c r="E19" s="6" t="s">
        <v>463</v>
      </c>
      <c r="F19" s="6" t="s">
        <v>464</v>
      </c>
    </row>
    <row r="20" spans="1:6" ht="56" customHeight="1">
      <c r="A20" s="7" t="s">
        <v>216</v>
      </c>
      <c r="B20" s="7" t="s">
        <v>213</v>
      </c>
      <c r="C20" s="7" t="s">
        <v>439</v>
      </c>
      <c r="D20" s="7" t="s">
        <v>435</v>
      </c>
      <c r="E20" s="7" t="s">
        <v>436</v>
      </c>
      <c r="F20" s="7" t="s">
        <v>465</v>
      </c>
    </row>
    <row r="21" spans="1:6" ht="56" customHeight="1">
      <c r="A21" s="6" t="s">
        <v>466</v>
      </c>
      <c r="B21" s="6" t="s">
        <v>467</v>
      </c>
      <c r="C21" s="6" t="s">
        <v>468</v>
      </c>
      <c r="D21" s="6" t="s">
        <v>469</v>
      </c>
      <c r="E21" s="6" t="s">
        <v>470</v>
      </c>
      <c r="F21" s="6" t="s">
        <v>471</v>
      </c>
    </row>
    <row r="22" spans="1:6" ht="56" customHeight="1">
      <c r="A22" s="7" t="s">
        <v>472</v>
      </c>
      <c r="B22" s="7" t="s">
        <v>122</v>
      </c>
      <c r="C22" s="7" t="s">
        <v>473</v>
      </c>
      <c r="D22" s="7" t="s">
        <v>435</v>
      </c>
      <c r="E22" s="7" t="s">
        <v>436</v>
      </c>
      <c r="F22" s="7" t="s">
        <v>474</v>
      </c>
    </row>
    <row r="23" spans="1:6" ht="56" customHeight="1">
      <c r="A23" s="6" t="s">
        <v>154</v>
      </c>
      <c r="B23" s="6" t="s">
        <v>151</v>
      </c>
      <c r="C23" s="6" t="s">
        <v>475</v>
      </c>
      <c r="D23" s="6" t="s">
        <v>442</v>
      </c>
      <c r="E23" s="6" t="s">
        <v>476</v>
      </c>
      <c r="F23" s="6" t="s">
        <v>477</v>
      </c>
    </row>
    <row r="24" spans="1:6" ht="56" customHeight="1">
      <c r="A24" s="7" t="s">
        <v>478</v>
      </c>
      <c r="B24" s="7" t="s">
        <v>139</v>
      </c>
      <c r="C24" s="7" t="s">
        <v>372</v>
      </c>
      <c r="D24" s="7" t="s">
        <v>435</v>
      </c>
      <c r="E24" s="7" t="s">
        <v>436</v>
      </c>
      <c r="F24" s="7" t="s">
        <v>479</v>
      </c>
    </row>
    <row r="25" spans="1:6" ht="56" customHeight="1">
      <c r="A25" s="6" t="s">
        <v>480</v>
      </c>
      <c r="B25" s="6" t="s">
        <v>139</v>
      </c>
      <c r="C25" s="6" t="s">
        <v>372</v>
      </c>
      <c r="D25" s="6" t="s">
        <v>442</v>
      </c>
      <c r="E25" s="6" t="s">
        <v>481</v>
      </c>
      <c r="F25" s="6" t="s">
        <v>482</v>
      </c>
    </row>
    <row r="26" spans="1:6" ht="56" customHeight="1">
      <c r="A26" s="7" t="s">
        <v>134</v>
      </c>
      <c r="B26" s="7" t="s">
        <v>130</v>
      </c>
      <c r="C26" s="7" t="s">
        <v>378</v>
      </c>
      <c r="D26" s="7" t="s">
        <v>435</v>
      </c>
      <c r="E26" s="7" t="s">
        <v>436</v>
      </c>
      <c r="F26" s="7" t="s">
        <v>483</v>
      </c>
    </row>
    <row r="27" spans="1:6" ht="56" customHeight="1">
      <c r="A27" s="6" t="s">
        <v>484</v>
      </c>
      <c r="B27" s="6" t="s">
        <v>147</v>
      </c>
      <c r="C27" s="6" t="s">
        <v>475</v>
      </c>
      <c r="D27" s="6" t="s">
        <v>435</v>
      </c>
      <c r="E27" s="6" t="s">
        <v>436</v>
      </c>
      <c r="F27" s="6" t="s">
        <v>485</v>
      </c>
    </row>
    <row r="28" spans="1:6" ht="56" customHeight="1">
      <c r="A28" s="7" t="s">
        <v>486</v>
      </c>
      <c r="B28" s="7" t="s">
        <v>118</v>
      </c>
      <c r="C28" s="7" t="s">
        <v>473</v>
      </c>
      <c r="D28" s="7" t="s">
        <v>435</v>
      </c>
      <c r="E28" s="7" t="s">
        <v>436</v>
      </c>
      <c r="F28" s="7" t="s">
        <v>487</v>
      </c>
    </row>
    <row r="29" spans="1:6" ht="56" customHeight="1">
      <c r="A29" s="6" t="s">
        <v>488</v>
      </c>
      <c r="B29" s="6" t="s">
        <v>122</v>
      </c>
      <c r="C29" s="6" t="s">
        <v>473</v>
      </c>
      <c r="D29" s="6" t="s">
        <v>435</v>
      </c>
      <c r="E29" s="6" t="s">
        <v>436</v>
      </c>
      <c r="F29" s="6" t="s">
        <v>489</v>
      </c>
    </row>
    <row r="30" spans="1:6" ht="56" customHeight="1">
      <c r="A30" s="7" t="s">
        <v>162</v>
      </c>
      <c r="B30" s="7" t="s">
        <v>159</v>
      </c>
      <c r="C30" s="7" t="s">
        <v>490</v>
      </c>
      <c r="D30" s="7" t="s">
        <v>435</v>
      </c>
      <c r="E30" s="7" t="s">
        <v>436</v>
      </c>
      <c r="F30" s="7" t="s">
        <v>491</v>
      </c>
    </row>
    <row r="31" spans="1:6" ht="56" customHeight="1">
      <c r="A31" s="6" t="s">
        <v>492</v>
      </c>
      <c r="B31" s="6" t="s">
        <v>163</v>
      </c>
      <c r="C31" s="6" t="s">
        <v>490</v>
      </c>
      <c r="D31" s="6" t="s">
        <v>435</v>
      </c>
      <c r="E31" s="6" t="s">
        <v>436</v>
      </c>
      <c r="F31" s="6" t="s">
        <v>493</v>
      </c>
    </row>
    <row r="32" spans="1:6" ht="56" customHeight="1">
      <c r="A32" s="7" t="s">
        <v>494</v>
      </c>
      <c r="B32" s="7" t="s">
        <v>126</v>
      </c>
      <c r="C32" s="7" t="s">
        <v>378</v>
      </c>
      <c r="D32" s="7" t="s">
        <v>435</v>
      </c>
      <c r="E32" s="7" t="s">
        <v>436</v>
      </c>
      <c r="F32" s="7" t="s">
        <v>495</v>
      </c>
    </row>
    <row r="33" spans="1:6" ht="56" customHeight="1">
      <c r="A33" s="6" t="s">
        <v>496</v>
      </c>
      <c r="B33" s="6" t="s">
        <v>126</v>
      </c>
      <c r="C33" s="6" t="s">
        <v>378</v>
      </c>
      <c r="D33" s="6" t="s">
        <v>435</v>
      </c>
      <c r="E33" s="6" t="s">
        <v>436</v>
      </c>
      <c r="F33" s="6" t="s">
        <v>497</v>
      </c>
    </row>
    <row r="34" spans="1:6" ht="56" customHeight="1">
      <c r="A34" s="7" t="s">
        <v>498</v>
      </c>
      <c r="B34" s="7" t="s">
        <v>118</v>
      </c>
      <c r="C34" s="7" t="s">
        <v>473</v>
      </c>
      <c r="D34" s="7" t="s">
        <v>442</v>
      </c>
      <c r="E34" s="7" t="s">
        <v>499</v>
      </c>
      <c r="F34" s="7" t="s">
        <v>500</v>
      </c>
    </row>
    <row r="35" spans="1:6" ht="56" customHeight="1">
      <c r="A35" s="6" t="s">
        <v>501</v>
      </c>
      <c r="B35" s="6" t="s">
        <v>118</v>
      </c>
      <c r="C35" s="6" t="s">
        <v>473</v>
      </c>
      <c r="D35" s="6" t="s">
        <v>435</v>
      </c>
      <c r="E35" s="6" t="s">
        <v>436</v>
      </c>
      <c r="F35" s="6" t="s">
        <v>502</v>
      </c>
    </row>
    <row r="36" spans="1:6" ht="56" customHeight="1">
      <c r="A36" s="7" t="s">
        <v>183</v>
      </c>
      <c r="B36" s="7" t="s">
        <v>503</v>
      </c>
      <c r="C36" s="7" t="s">
        <v>504</v>
      </c>
      <c r="D36" s="7" t="s">
        <v>469</v>
      </c>
      <c r="E36" s="7" t="s">
        <v>505</v>
      </c>
      <c r="F36" s="7" t="s">
        <v>506</v>
      </c>
    </row>
    <row r="37" spans="1:6" ht="56" customHeight="1">
      <c r="A37" s="6" t="s">
        <v>507</v>
      </c>
      <c r="B37" s="6" t="s">
        <v>122</v>
      </c>
      <c r="C37" s="6" t="s">
        <v>473</v>
      </c>
      <c r="D37" s="6" t="s">
        <v>435</v>
      </c>
      <c r="E37" s="6" t="s">
        <v>436</v>
      </c>
      <c r="F37" s="6" t="s">
        <v>508</v>
      </c>
    </row>
    <row r="38" spans="1:6" ht="56" customHeight="1">
      <c r="A38" s="7" t="s">
        <v>138</v>
      </c>
      <c r="B38" s="7" t="s">
        <v>135</v>
      </c>
      <c r="C38" s="7" t="s">
        <v>378</v>
      </c>
      <c r="D38" s="7" t="s">
        <v>435</v>
      </c>
      <c r="E38" s="7" t="s">
        <v>436</v>
      </c>
      <c r="F38" s="7" t="s">
        <v>509</v>
      </c>
    </row>
    <row r="39" spans="1:6" ht="56" customHeight="1">
      <c r="A39" s="6" t="s">
        <v>510</v>
      </c>
      <c r="B39" s="6" t="s">
        <v>237</v>
      </c>
      <c r="C39" s="6" t="s">
        <v>330</v>
      </c>
      <c r="D39" s="6" t="s">
        <v>435</v>
      </c>
      <c r="E39" s="6" t="s">
        <v>436</v>
      </c>
      <c r="F39" s="6" t="s">
        <v>511</v>
      </c>
    </row>
    <row r="40" spans="1:6" ht="56" customHeight="1">
      <c r="A40" s="7" t="s">
        <v>512</v>
      </c>
      <c r="B40" s="7" t="s">
        <v>237</v>
      </c>
      <c r="C40" s="7" t="s">
        <v>330</v>
      </c>
      <c r="D40" s="7" t="s">
        <v>435</v>
      </c>
      <c r="E40" s="7" t="s">
        <v>436</v>
      </c>
      <c r="F40" s="7" t="s">
        <v>513</v>
      </c>
    </row>
    <row r="41" spans="1:6" ht="56" customHeight="1">
      <c r="A41" s="6" t="s">
        <v>192</v>
      </c>
      <c r="B41" s="6" t="s">
        <v>188</v>
      </c>
      <c r="C41" s="6" t="s">
        <v>383</v>
      </c>
      <c r="D41" s="6" t="s">
        <v>435</v>
      </c>
      <c r="E41" s="6" t="s">
        <v>436</v>
      </c>
      <c r="F41" s="6" t="s">
        <v>514</v>
      </c>
    </row>
    <row r="42" spans="1:6" ht="56" customHeight="1">
      <c r="A42" s="7" t="s">
        <v>515</v>
      </c>
      <c r="B42" s="7" t="s">
        <v>147</v>
      </c>
      <c r="C42" s="7" t="s">
        <v>475</v>
      </c>
      <c r="D42" s="7" t="s">
        <v>435</v>
      </c>
      <c r="E42" s="7" t="s">
        <v>436</v>
      </c>
      <c r="F42" s="7" t="s">
        <v>516</v>
      </c>
    </row>
    <row r="43" spans="1:6" ht="56" customHeight="1">
      <c r="A43" s="6" t="s">
        <v>260</v>
      </c>
      <c r="B43" s="6" t="s">
        <v>257</v>
      </c>
      <c r="C43" s="6" t="s">
        <v>393</v>
      </c>
      <c r="D43" s="6" t="s">
        <v>435</v>
      </c>
      <c r="E43" s="6" t="s">
        <v>436</v>
      </c>
      <c r="F43" s="6" t="s">
        <v>517</v>
      </c>
    </row>
    <row r="44" spans="1:6" ht="56" customHeight="1">
      <c r="A44" s="7" t="s">
        <v>178</v>
      </c>
      <c r="B44" s="7" t="s">
        <v>175</v>
      </c>
      <c r="C44" s="7" t="s">
        <v>518</v>
      </c>
      <c r="D44" s="7" t="s">
        <v>435</v>
      </c>
      <c r="E44" s="7" t="s">
        <v>436</v>
      </c>
      <c r="F44" s="7" t="s">
        <v>519</v>
      </c>
    </row>
    <row r="45" spans="1:6" ht="56" customHeight="1">
      <c r="A45" s="6" t="s">
        <v>520</v>
      </c>
      <c r="B45" s="6" t="s">
        <v>221</v>
      </c>
      <c r="C45" s="6" t="s">
        <v>388</v>
      </c>
      <c r="D45" s="6" t="s">
        <v>435</v>
      </c>
      <c r="E45" s="6" t="s">
        <v>436</v>
      </c>
      <c r="F45" s="6" t="s">
        <v>521</v>
      </c>
    </row>
    <row r="46" spans="1:6" ht="56" customHeight="1">
      <c r="A46" s="7" t="s">
        <v>256</v>
      </c>
      <c r="B46" s="7" t="s">
        <v>253</v>
      </c>
      <c r="C46" s="7" t="s">
        <v>393</v>
      </c>
      <c r="D46" s="7" t="s">
        <v>435</v>
      </c>
      <c r="E46" s="7" t="s">
        <v>436</v>
      </c>
      <c r="F46" s="7" t="s">
        <v>522</v>
      </c>
    </row>
    <row r="47" spans="1:6" ht="56" customHeight="1">
      <c r="A47" s="6" t="s">
        <v>523</v>
      </c>
      <c r="B47" s="6" t="s">
        <v>163</v>
      </c>
      <c r="C47" s="6" t="s">
        <v>490</v>
      </c>
      <c r="D47" s="6" t="s">
        <v>435</v>
      </c>
      <c r="E47" s="6" t="s">
        <v>436</v>
      </c>
      <c r="F47" s="6" t="s">
        <v>524</v>
      </c>
    </row>
    <row r="48" spans="1:6" ht="56" customHeight="1">
      <c r="A48" s="7" t="s">
        <v>525</v>
      </c>
      <c r="B48" s="7" t="s">
        <v>163</v>
      </c>
      <c r="C48" s="7" t="s">
        <v>490</v>
      </c>
      <c r="D48" s="7" t="s">
        <v>435</v>
      </c>
      <c r="E48" s="7" t="s">
        <v>436</v>
      </c>
      <c r="F48" s="7" t="s">
        <v>526</v>
      </c>
    </row>
    <row r="49" spans="1:6" ht="56" customHeight="1">
      <c r="A49" s="6" t="s">
        <v>527</v>
      </c>
      <c r="B49" s="6" t="s">
        <v>225</v>
      </c>
      <c r="C49" s="6" t="s">
        <v>388</v>
      </c>
      <c r="D49" s="6" t="s">
        <v>469</v>
      </c>
      <c r="E49" s="6" t="s">
        <v>436</v>
      </c>
      <c r="F49" s="6" t="s">
        <v>528</v>
      </c>
    </row>
    <row r="50" spans="1:6" ht="56" customHeight="1">
      <c r="A50" s="7" t="s">
        <v>529</v>
      </c>
      <c r="B50" s="7" t="s">
        <v>225</v>
      </c>
      <c r="C50" s="7" t="s">
        <v>388</v>
      </c>
      <c r="D50" s="7" t="s">
        <v>435</v>
      </c>
      <c r="E50" s="7" t="s">
        <v>436</v>
      </c>
      <c r="F50" s="7" t="s">
        <v>530</v>
      </c>
    </row>
    <row r="51" spans="1:6" ht="56" customHeight="1">
      <c r="A51" s="6" t="s">
        <v>531</v>
      </c>
      <c r="B51" s="6" t="s">
        <v>221</v>
      </c>
      <c r="C51" s="6" t="s">
        <v>388</v>
      </c>
      <c r="D51" s="6" t="s">
        <v>435</v>
      </c>
      <c r="E51" s="6" t="s">
        <v>436</v>
      </c>
      <c r="F51" s="6" t="s">
        <v>532</v>
      </c>
    </row>
    <row r="52" spans="1:6" ht="56" customHeight="1">
      <c r="A52" s="7" t="s">
        <v>146</v>
      </c>
      <c r="B52" s="7" t="s">
        <v>143</v>
      </c>
      <c r="C52" s="7" t="s">
        <v>372</v>
      </c>
      <c r="D52" s="7" t="s">
        <v>442</v>
      </c>
      <c r="E52" s="7" t="s">
        <v>533</v>
      </c>
      <c r="F52" s="7" t="s">
        <v>534</v>
      </c>
    </row>
    <row r="53" spans="1:6" ht="56" customHeight="1">
      <c r="A53" s="6" t="s">
        <v>535</v>
      </c>
      <c r="B53" s="6" t="s">
        <v>245</v>
      </c>
      <c r="C53" s="6" t="s">
        <v>356</v>
      </c>
      <c r="D53" s="6" t="s">
        <v>469</v>
      </c>
      <c r="E53" s="6" t="s">
        <v>436</v>
      </c>
      <c r="F53" s="6" t="s">
        <v>536</v>
      </c>
    </row>
    <row r="54" spans="1:6" ht="56" customHeight="1">
      <c r="A54" s="7" t="s">
        <v>537</v>
      </c>
      <c r="B54" s="7" t="s">
        <v>245</v>
      </c>
      <c r="C54" s="7" t="s">
        <v>356</v>
      </c>
      <c r="D54" s="7" t="s">
        <v>435</v>
      </c>
      <c r="E54" s="7" t="s">
        <v>436</v>
      </c>
      <c r="F54" s="7" t="s">
        <v>538</v>
      </c>
    </row>
    <row r="55" spans="1:6" ht="56" customHeight="1">
      <c r="A55" s="6" t="s">
        <v>539</v>
      </c>
      <c r="B55" s="6" t="s">
        <v>229</v>
      </c>
      <c r="C55" s="6" t="s">
        <v>324</v>
      </c>
      <c r="D55" s="6" t="s">
        <v>435</v>
      </c>
      <c r="E55" s="6" t="s">
        <v>436</v>
      </c>
      <c r="F55" s="6" t="s">
        <v>540</v>
      </c>
    </row>
    <row r="56" spans="1:6" ht="56" customHeight="1">
      <c r="A56" s="7" t="s">
        <v>541</v>
      </c>
      <c r="B56" s="7" t="s">
        <v>229</v>
      </c>
      <c r="C56" s="7" t="s">
        <v>324</v>
      </c>
      <c r="D56" s="7" t="s">
        <v>435</v>
      </c>
      <c r="E56" s="7" t="s">
        <v>436</v>
      </c>
      <c r="F56" s="7" t="s">
        <v>542</v>
      </c>
    </row>
    <row r="57" spans="1:6" ht="56" customHeight="1">
      <c r="A57" s="6" t="s">
        <v>543</v>
      </c>
      <c r="B57" s="6" t="s">
        <v>229</v>
      </c>
      <c r="C57" s="6" t="s">
        <v>324</v>
      </c>
      <c r="D57" s="6" t="s">
        <v>469</v>
      </c>
      <c r="E57" s="6" t="s">
        <v>436</v>
      </c>
      <c r="F57" s="6" t="s">
        <v>544</v>
      </c>
    </row>
    <row r="58" spans="1:6" ht="56" customHeight="1">
      <c r="A58" s="7" t="s">
        <v>545</v>
      </c>
      <c r="B58" s="7" t="s">
        <v>171</v>
      </c>
      <c r="C58" s="7" t="s">
        <v>367</v>
      </c>
      <c r="D58" s="7" t="s">
        <v>442</v>
      </c>
      <c r="E58" s="7" t="s">
        <v>546</v>
      </c>
      <c r="F58" s="7" t="s">
        <v>547</v>
      </c>
    </row>
    <row r="59" spans="1:6" ht="56" customHeight="1">
      <c r="A59" s="6" t="s">
        <v>548</v>
      </c>
      <c r="B59" s="6" t="s">
        <v>171</v>
      </c>
      <c r="C59" s="6" t="s">
        <v>367</v>
      </c>
      <c r="D59" s="6" t="s">
        <v>435</v>
      </c>
      <c r="E59" s="6" t="s">
        <v>436</v>
      </c>
      <c r="F59" s="6" t="s">
        <v>549</v>
      </c>
    </row>
    <row r="60" spans="1:6" ht="56" customHeight="1">
      <c r="A60" s="7" t="s">
        <v>196</v>
      </c>
      <c r="B60" s="7" t="s">
        <v>193</v>
      </c>
      <c r="C60" s="7" t="s">
        <v>340</v>
      </c>
      <c r="D60" s="7" t="s">
        <v>442</v>
      </c>
      <c r="E60" s="7" t="s">
        <v>550</v>
      </c>
      <c r="F60" s="7" t="s">
        <v>551</v>
      </c>
    </row>
    <row r="61" spans="1:6" ht="56" customHeight="1">
      <c r="A61" s="6" t="s">
        <v>187</v>
      </c>
      <c r="B61" s="6" t="s">
        <v>184</v>
      </c>
      <c r="C61" s="6" t="s">
        <v>383</v>
      </c>
      <c r="D61" s="6" t="s">
        <v>435</v>
      </c>
      <c r="E61" s="6" t="s">
        <v>436</v>
      </c>
      <c r="F61" s="6" t="s">
        <v>552</v>
      </c>
    </row>
    <row r="62" spans="1:6" ht="56" customHeight="1">
      <c r="A62" s="7" t="s">
        <v>553</v>
      </c>
      <c r="B62" s="7" t="s">
        <v>225</v>
      </c>
      <c r="C62" s="7" t="s">
        <v>388</v>
      </c>
      <c r="D62" s="7" t="s">
        <v>435</v>
      </c>
      <c r="E62" s="7" t="s">
        <v>436</v>
      </c>
      <c r="F62" s="7" t="s">
        <v>554</v>
      </c>
    </row>
    <row r="63" spans="1:6" ht="56" customHeight="1">
      <c r="A63" s="6" t="s">
        <v>170</v>
      </c>
      <c r="B63" s="6" t="s">
        <v>167</v>
      </c>
      <c r="C63" s="6" t="s">
        <v>367</v>
      </c>
      <c r="D63" s="6" t="s">
        <v>435</v>
      </c>
      <c r="E63" s="6" t="s">
        <v>436</v>
      </c>
      <c r="F63" s="6" t="s">
        <v>555</v>
      </c>
    </row>
    <row r="64" spans="1:6" ht="56" customHeight="1">
      <c r="A64" s="7" t="s">
        <v>556</v>
      </c>
      <c r="B64" s="7" t="s">
        <v>467</v>
      </c>
      <c r="C64" s="7" t="s">
        <v>468</v>
      </c>
      <c r="D64" s="7" t="s">
        <v>469</v>
      </c>
      <c r="E64" s="7" t="s">
        <v>557</v>
      </c>
      <c r="F64" s="7" t="s">
        <v>558</v>
      </c>
    </row>
    <row r="65" spans="1:6" ht="24" customHeight="1">
      <c r="A65" s="1"/>
      <c r="B65" s="1"/>
      <c r="C65" s="1"/>
      <c r="D65" s="1"/>
      <c r="E65" s="1"/>
      <c r="F65" s="1"/>
    </row>
  </sheetData>
  <conditionalFormatting sqref="D7:D64">
    <cfRule type="containsText" dxfId="0" priority="1" operator="containsText" text="Fail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Revision Plan</vt:lpstr>
      <vt:lpstr>Topic Tracker</vt:lpstr>
      <vt:lpstr>Repo Review</vt:lpstr>
      <vt:lpstr>File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KSHOUNISH CHAKRABORTY</cp:lastModifiedBy>
  <dcterms:modified xsi:type="dcterms:W3CDTF">2026-10-09T16:12:25Z</dcterms:modified>
</cp:coreProperties>
</file>